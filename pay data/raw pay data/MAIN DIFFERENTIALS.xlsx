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14d9ec0304f48/Desktop/APPS/PORTPAL/DIFFERENTIALS/"/>
    </mc:Choice>
  </mc:AlternateContent>
  <xr:revisionPtr revIDLastSave="801" documentId="8_{9858DBB7-C32A-4E64-9ECF-760F4488F558}" xr6:coauthVersionLast="47" xr6:coauthVersionMax="47" xr10:uidLastSave="{91159560-95BB-4974-B735-9F02DAEC8F81}"/>
  <bookViews>
    <workbookView xWindow="-96" yWindow="-96" windowWidth="23232" windowHeight="13872" activeTab="5" xr2:uid="{165134A3-5782-4699-A1EF-2D865C109ED2}"/>
  </bookViews>
  <sheets>
    <sheet name="PAYRATES" sheetId="2" r:id="rId1"/>
    <sheet name="HD MECHANIC" sheetId="12" r:id="rId2"/>
    <sheet name="WHEAT" sheetId="1" r:id="rId3"/>
    <sheet name="TRACTOR TRAILER" sheetId="3" r:id="rId4"/>
    <sheet name="HEAD CHECKER" sheetId="4" r:id="rId5"/>
    <sheet name="Sheet1" sheetId="16" r:id="rId6"/>
    <sheet name="LABOUR" sheetId="5" r:id="rId7"/>
    <sheet name="BUNNYBUS" sheetId="15" r:id="rId8"/>
    <sheet name="RTG" sheetId="6" r:id="rId9"/>
    <sheet name="TRAINERS" sheetId="14" r:id="rId10"/>
    <sheet name="FIRST AID" sheetId="13" r:id="rId11"/>
    <sheet name="HLT" sheetId="7" r:id="rId12"/>
    <sheet name="CHECKER" sheetId="10" r:id="rId13"/>
    <sheet name="RMG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4" l="1"/>
  <c r="G12" i="4"/>
  <c r="K12" i="4" s="1"/>
  <c r="F12" i="4"/>
  <c r="C12" i="4"/>
  <c r="L11" i="4"/>
  <c r="I11" i="4"/>
  <c r="G11" i="4"/>
  <c r="K11" i="4" s="1"/>
  <c r="F11" i="4"/>
  <c r="C11" i="4"/>
  <c r="L10" i="4"/>
  <c r="I10" i="4"/>
  <c r="G10" i="4"/>
  <c r="K10" i="4" s="1"/>
  <c r="F10" i="4"/>
  <c r="C10" i="4"/>
  <c r="I8" i="4"/>
  <c r="G8" i="4"/>
  <c r="F8" i="4"/>
  <c r="C8" i="4"/>
  <c r="L7" i="4"/>
  <c r="I7" i="4"/>
  <c r="G7" i="4"/>
  <c r="K7" i="4" s="1"/>
  <c r="F7" i="4"/>
  <c r="C7" i="4"/>
  <c r="L6" i="4"/>
  <c r="I6" i="4"/>
  <c r="G6" i="4"/>
  <c r="H6" i="4" s="1"/>
  <c r="J6" i="4" s="1"/>
  <c r="F6" i="4"/>
  <c r="C6" i="4"/>
  <c r="I4" i="4"/>
  <c r="G4" i="4"/>
  <c r="K4" i="4" s="1"/>
  <c r="F4" i="4"/>
  <c r="C4" i="4"/>
  <c r="L3" i="4"/>
  <c r="I3" i="4"/>
  <c r="G3" i="4"/>
  <c r="H3" i="4" s="1"/>
  <c r="J3" i="4" s="1"/>
  <c r="F3" i="4"/>
  <c r="C3" i="4"/>
  <c r="G2" i="4"/>
  <c r="K2" i="4" s="1"/>
  <c r="H12" i="15"/>
  <c r="F12" i="15"/>
  <c r="E12" i="15"/>
  <c r="C12" i="15"/>
  <c r="K11" i="15"/>
  <c r="H11" i="15"/>
  <c r="F11" i="15"/>
  <c r="J11" i="15" s="1"/>
  <c r="E11" i="15"/>
  <c r="C11" i="15"/>
  <c r="K10" i="15"/>
  <c r="H10" i="15"/>
  <c r="F10" i="15"/>
  <c r="J10" i="15" s="1"/>
  <c r="E10" i="15"/>
  <c r="C10" i="15"/>
  <c r="H8" i="15"/>
  <c r="F8" i="15"/>
  <c r="J8" i="15" s="1"/>
  <c r="E8" i="15"/>
  <c r="C8" i="15"/>
  <c r="K7" i="15"/>
  <c r="H7" i="15"/>
  <c r="F7" i="15"/>
  <c r="J7" i="15" s="1"/>
  <c r="E7" i="15"/>
  <c r="C7" i="15"/>
  <c r="K6" i="15"/>
  <c r="H6" i="15"/>
  <c r="F6" i="15"/>
  <c r="G6" i="15" s="1"/>
  <c r="I6" i="15" s="1"/>
  <c r="E6" i="15"/>
  <c r="C6" i="15"/>
  <c r="H4" i="15"/>
  <c r="F4" i="15"/>
  <c r="G4" i="15" s="1"/>
  <c r="I4" i="15" s="1"/>
  <c r="E4" i="15"/>
  <c r="C4" i="15"/>
  <c r="K3" i="15"/>
  <c r="H3" i="15"/>
  <c r="F3" i="15"/>
  <c r="G3" i="15" s="1"/>
  <c r="I3" i="15" s="1"/>
  <c r="E3" i="15"/>
  <c r="C3" i="15"/>
  <c r="F2" i="15"/>
  <c r="J2" i="15" s="1"/>
  <c r="C20" i="3"/>
  <c r="C19" i="3"/>
  <c r="C18" i="3"/>
  <c r="C17" i="3"/>
  <c r="C16" i="3"/>
  <c r="C15" i="3"/>
  <c r="C14" i="3"/>
  <c r="C13" i="3"/>
  <c r="C12" i="3"/>
  <c r="C11" i="3"/>
  <c r="I28" i="3"/>
  <c r="I27" i="3"/>
  <c r="I26" i="3"/>
  <c r="I25" i="3"/>
  <c r="K25" i="3" s="1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E28" i="3"/>
  <c r="E27" i="3"/>
  <c r="E26" i="3"/>
  <c r="E25" i="3"/>
  <c r="E24" i="3"/>
  <c r="E23" i="3"/>
  <c r="E22" i="3"/>
  <c r="E21" i="3"/>
  <c r="F28" i="3"/>
  <c r="F27" i="3"/>
  <c r="F26" i="3"/>
  <c r="F25" i="3"/>
  <c r="F24" i="3"/>
  <c r="F23" i="3"/>
  <c r="F22" i="3"/>
  <c r="F21" i="3"/>
  <c r="L28" i="3"/>
  <c r="L25" i="3"/>
  <c r="L27" i="3"/>
  <c r="L26" i="3"/>
  <c r="L24" i="3"/>
  <c r="L23" i="3"/>
  <c r="L21" i="3"/>
  <c r="G28" i="3"/>
  <c r="K28" i="3" s="1"/>
  <c r="C28" i="3"/>
  <c r="G27" i="3"/>
  <c r="H27" i="3" s="1"/>
  <c r="J27" i="3" s="1"/>
  <c r="C27" i="3"/>
  <c r="G26" i="3"/>
  <c r="K26" i="3" s="1"/>
  <c r="C26" i="3"/>
  <c r="G25" i="3"/>
  <c r="H25" i="3" s="1"/>
  <c r="C25" i="3"/>
  <c r="G24" i="3"/>
  <c r="H24" i="3" s="1"/>
  <c r="C24" i="3"/>
  <c r="G23" i="3"/>
  <c r="C23" i="3"/>
  <c r="G22" i="3"/>
  <c r="K22" i="3" s="1"/>
  <c r="C22" i="3"/>
  <c r="G21" i="3"/>
  <c r="H21" i="3" s="1"/>
  <c r="C21" i="3"/>
  <c r="G20" i="3"/>
  <c r="H20" i="3" s="1"/>
  <c r="E10" i="3"/>
  <c r="E9" i="3"/>
  <c r="E8" i="3"/>
  <c r="E7" i="3"/>
  <c r="E6" i="3"/>
  <c r="E5" i="3"/>
  <c r="E4" i="3"/>
  <c r="E3" i="3"/>
  <c r="F11" i="14"/>
  <c r="F12" i="14" s="1"/>
  <c r="F13" i="14"/>
  <c r="D10" i="14"/>
  <c r="D9" i="14"/>
  <c r="D8" i="14"/>
  <c r="D7" i="14"/>
  <c r="D6" i="14"/>
  <c r="D5" i="14"/>
  <c r="D4" i="14"/>
  <c r="D3" i="14"/>
  <c r="K13" i="14"/>
  <c r="K10" i="14"/>
  <c r="K7" i="14"/>
  <c r="L13" i="14"/>
  <c r="L12" i="14"/>
  <c r="L11" i="14"/>
  <c r="L10" i="14"/>
  <c r="L9" i="14"/>
  <c r="L8" i="14"/>
  <c r="L7" i="14"/>
  <c r="L6" i="14"/>
  <c r="L5" i="14"/>
  <c r="L4" i="14"/>
  <c r="L3" i="14"/>
  <c r="K5" i="14"/>
  <c r="K6" i="14"/>
  <c r="K8" i="14"/>
  <c r="K9" i="14"/>
  <c r="K11" i="14"/>
  <c r="K12" i="14"/>
  <c r="K3" i="14"/>
  <c r="H13" i="14"/>
  <c r="C13" i="14"/>
  <c r="H12" i="14"/>
  <c r="C12" i="14"/>
  <c r="H11" i="14"/>
  <c r="C11" i="14"/>
  <c r="F9" i="14"/>
  <c r="J9" i="14" s="1"/>
  <c r="F8" i="14"/>
  <c r="F7" i="14"/>
  <c r="G7" i="14" s="1"/>
  <c r="F3" i="14"/>
  <c r="G3" i="14" s="1"/>
  <c r="I3" i="14" s="1"/>
  <c r="B15" i="14"/>
  <c r="F6" i="14" s="1"/>
  <c r="J6" i="14" s="1"/>
  <c r="H10" i="14"/>
  <c r="C10" i="14"/>
  <c r="H9" i="14"/>
  <c r="C9" i="14"/>
  <c r="H8" i="14"/>
  <c r="C8" i="14"/>
  <c r="H7" i="14"/>
  <c r="C7" i="14"/>
  <c r="H6" i="14"/>
  <c r="C6" i="14"/>
  <c r="H5" i="14"/>
  <c r="C5" i="14"/>
  <c r="H4" i="14"/>
  <c r="C4" i="14"/>
  <c r="H3" i="14"/>
  <c r="C3" i="14"/>
  <c r="K10" i="13"/>
  <c r="H10" i="13"/>
  <c r="F10" i="13"/>
  <c r="E10" i="13"/>
  <c r="C10" i="13"/>
  <c r="K9" i="13"/>
  <c r="H9" i="13"/>
  <c r="F9" i="13"/>
  <c r="J9" i="13" s="1"/>
  <c r="E9" i="13"/>
  <c r="C9" i="13"/>
  <c r="K8" i="13"/>
  <c r="H8" i="13"/>
  <c r="F8" i="13"/>
  <c r="J8" i="13" s="1"/>
  <c r="E8" i="13"/>
  <c r="C8" i="13"/>
  <c r="K7" i="13"/>
  <c r="H7" i="13"/>
  <c r="F7" i="13"/>
  <c r="G7" i="13" s="1"/>
  <c r="I7" i="13" s="1"/>
  <c r="E7" i="13"/>
  <c r="C7" i="13"/>
  <c r="K6" i="13"/>
  <c r="H6" i="13"/>
  <c r="F6" i="13"/>
  <c r="G6" i="13" s="1"/>
  <c r="I6" i="13" s="1"/>
  <c r="E6" i="13"/>
  <c r="C6" i="13"/>
  <c r="K5" i="13"/>
  <c r="H5" i="13"/>
  <c r="F5" i="13"/>
  <c r="G5" i="13" s="1"/>
  <c r="I5" i="13" s="1"/>
  <c r="E5" i="13"/>
  <c r="C5" i="13"/>
  <c r="L4" i="13"/>
  <c r="K4" i="13"/>
  <c r="H4" i="13"/>
  <c r="F4" i="13"/>
  <c r="G4" i="13" s="1"/>
  <c r="I4" i="13" s="1"/>
  <c r="E4" i="13"/>
  <c r="C4" i="13"/>
  <c r="K3" i="13"/>
  <c r="H3" i="13"/>
  <c r="F3" i="13"/>
  <c r="J3" i="13" s="1"/>
  <c r="E3" i="13"/>
  <c r="C3" i="13"/>
  <c r="F2" i="13"/>
  <c r="J2" i="13" s="1"/>
  <c r="H12" i="6"/>
  <c r="F12" i="6"/>
  <c r="E12" i="6"/>
  <c r="C12" i="6"/>
  <c r="K11" i="6"/>
  <c r="H11" i="6"/>
  <c r="F11" i="6"/>
  <c r="G11" i="6" s="1"/>
  <c r="I11" i="6" s="1"/>
  <c r="E11" i="6"/>
  <c r="C11" i="6"/>
  <c r="K10" i="6"/>
  <c r="H10" i="6"/>
  <c r="F10" i="6"/>
  <c r="G10" i="6" s="1"/>
  <c r="I10" i="6" s="1"/>
  <c r="E10" i="6"/>
  <c r="C10" i="6"/>
  <c r="H8" i="6"/>
  <c r="F8" i="6"/>
  <c r="J8" i="6" s="1"/>
  <c r="E8" i="6"/>
  <c r="C8" i="6"/>
  <c r="K7" i="6"/>
  <c r="H7" i="6"/>
  <c r="F7" i="6"/>
  <c r="J7" i="6" s="1"/>
  <c r="E7" i="6"/>
  <c r="C7" i="6"/>
  <c r="K6" i="6"/>
  <c r="H6" i="6"/>
  <c r="F6" i="6"/>
  <c r="E6" i="6"/>
  <c r="C6" i="6"/>
  <c r="H4" i="6"/>
  <c r="F4" i="6"/>
  <c r="G4" i="6" s="1"/>
  <c r="I4" i="6" s="1"/>
  <c r="E4" i="6"/>
  <c r="C4" i="6"/>
  <c r="K3" i="6"/>
  <c r="H3" i="6"/>
  <c r="F3" i="6"/>
  <c r="J3" i="6" s="1"/>
  <c r="E3" i="6"/>
  <c r="C3" i="6"/>
  <c r="F2" i="6"/>
  <c r="J2" i="6" s="1"/>
  <c r="K12" i="12"/>
  <c r="J12" i="12"/>
  <c r="K11" i="12"/>
  <c r="J11" i="12"/>
  <c r="K10" i="12"/>
  <c r="J10" i="12"/>
  <c r="K8" i="12"/>
  <c r="J8" i="12"/>
  <c r="K7" i="12"/>
  <c r="J7" i="12"/>
  <c r="K6" i="12"/>
  <c r="J6" i="12"/>
  <c r="K4" i="12"/>
  <c r="J4" i="12"/>
  <c r="K3" i="12"/>
  <c r="J3" i="12"/>
  <c r="G12" i="12"/>
  <c r="E12" i="12"/>
  <c r="I12" i="12" s="1"/>
  <c r="C12" i="12"/>
  <c r="G11" i="12"/>
  <c r="E11" i="12"/>
  <c r="C11" i="12"/>
  <c r="G10" i="12"/>
  <c r="E10" i="12"/>
  <c r="F10" i="12" s="1"/>
  <c r="H10" i="12" s="1"/>
  <c r="C10" i="12"/>
  <c r="G8" i="12"/>
  <c r="E8" i="12"/>
  <c r="I8" i="12" s="1"/>
  <c r="C8" i="12"/>
  <c r="G7" i="12"/>
  <c r="E7" i="12"/>
  <c r="I7" i="12" s="1"/>
  <c r="C7" i="12"/>
  <c r="G6" i="12"/>
  <c r="E6" i="12"/>
  <c r="I6" i="12" s="1"/>
  <c r="C6" i="12"/>
  <c r="G4" i="12"/>
  <c r="E4" i="12"/>
  <c r="I4" i="12" s="1"/>
  <c r="C4" i="12"/>
  <c r="G3" i="12"/>
  <c r="E3" i="12"/>
  <c r="I3" i="12" s="1"/>
  <c r="C3" i="12"/>
  <c r="E2" i="12"/>
  <c r="F2" i="12" s="1"/>
  <c r="H2" i="12" s="1"/>
  <c r="F19" i="3"/>
  <c r="F18" i="3"/>
  <c r="F17" i="3"/>
  <c r="F16" i="3"/>
  <c r="F15" i="3"/>
  <c r="F14" i="3"/>
  <c r="F13" i="3"/>
  <c r="F12" i="3"/>
  <c r="C10" i="3"/>
  <c r="C9" i="3"/>
  <c r="C8" i="3"/>
  <c r="C7" i="3"/>
  <c r="C6" i="3"/>
  <c r="C5" i="3"/>
  <c r="C4" i="3"/>
  <c r="C3" i="3"/>
  <c r="L10" i="3"/>
  <c r="L7" i="3"/>
  <c r="G19" i="3"/>
  <c r="G18" i="3"/>
  <c r="H18" i="3" s="1"/>
  <c r="G17" i="3"/>
  <c r="H17" i="3" s="1"/>
  <c r="G16" i="3"/>
  <c r="G15" i="3"/>
  <c r="H15" i="3" s="1"/>
  <c r="G14" i="3"/>
  <c r="H14" i="3" s="1"/>
  <c r="G13" i="3"/>
  <c r="G12" i="3"/>
  <c r="H12" i="3" s="1"/>
  <c r="J12" i="3" s="1"/>
  <c r="G11" i="3"/>
  <c r="H11" i="3" s="1"/>
  <c r="J11" i="3" s="1"/>
  <c r="G10" i="3"/>
  <c r="H10" i="3" s="1"/>
  <c r="J10" i="3" s="1"/>
  <c r="F10" i="3"/>
  <c r="G9" i="3"/>
  <c r="H9" i="3" s="1"/>
  <c r="F9" i="3"/>
  <c r="G8" i="3"/>
  <c r="F8" i="3"/>
  <c r="G7" i="3"/>
  <c r="H7" i="3" s="1"/>
  <c r="J7" i="3" s="1"/>
  <c r="F7" i="3"/>
  <c r="G6" i="3"/>
  <c r="H6" i="3" s="1"/>
  <c r="J6" i="3" s="1"/>
  <c r="F6" i="3"/>
  <c r="G5" i="3"/>
  <c r="H5" i="3" s="1"/>
  <c r="F5" i="3"/>
  <c r="G4" i="3"/>
  <c r="F4" i="3"/>
  <c r="I3" i="3"/>
  <c r="G3" i="3"/>
  <c r="F3" i="3"/>
  <c r="G2" i="3"/>
  <c r="K2" i="3" s="1"/>
  <c r="E10" i="1"/>
  <c r="E9" i="1"/>
  <c r="E8" i="1"/>
  <c r="E7" i="1"/>
  <c r="E6" i="1"/>
  <c r="E5" i="1"/>
  <c r="E4" i="1"/>
  <c r="E3" i="1"/>
  <c r="C10" i="1"/>
  <c r="C9" i="1"/>
  <c r="C8" i="1"/>
  <c r="C7" i="1"/>
  <c r="C6" i="1"/>
  <c r="C5" i="1"/>
  <c r="C4" i="1"/>
  <c r="C3" i="1"/>
  <c r="H10" i="1"/>
  <c r="H9" i="1"/>
  <c r="H8" i="1"/>
  <c r="H7" i="1"/>
  <c r="H6" i="1"/>
  <c r="H5" i="1"/>
  <c r="H4" i="1"/>
  <c r="H3" i="1"/>
  <c r="F10" i="1"/>
  <c r="F7" i="1"/>
  <c r="J7" i="1" s="1"/>
  <c r="F9" i="1"/>
  <c r="F8" i="1"/>
  <c r="F6" i="1"/>
  <c r="F5" i="1"/>
  <c r="F4" i="1"/>
  <c r="J4" i="1" s="1"/>
  <c r="F3" i="1"/>
  <c r="F2" i="1"/>
  <c r="J2" i="1" s="1"/>
  <c r="K8" i="4" l="1"/>
  <c r="H2" i="4"/>
  <c r="J2" i="4" s="1"/>
  <c r="N2" i="4" s="1"/>
  <c r="H8" i="4"/>
  <c r="J8" i="4" s="1"/>
  <c r="N8" i="4" s="1"/>
  <c r="K6" i="4"/>
  <c r="N6" i="4" s="1"/>
  <c r="H11" i="4"/>
  <c r="J11" i="4" s="1"/>
  <c r="N11" i="4" s="1"/>
  <c r="K3" i="4"/>
  <c r="N3" i="4" s="1"/>
  <c r="H7" i="4"/>
  <c r="J7" i="4" s="1"/>
  <c r="N7" i="4" s="1"/>
  <c r="H10" i="4"/>
  <c r="J10" i="4" s="1"/>
  <c r="N10" i="4" s="1"/>
  <c r="H4" i="4"/>
  <c r="J4" i="4" s="1"/>
  <c r="N4" i="4" s="1"/>
  <c r="H12" i="4"/>
  <c r="J12" i="4" s="1"/>
  <c r="N12" i="4" s="1"/>
  <c r="J12" i="15"/>
  <c r="G2" i="15"/>
  <c r="I2" i="15" s="1"/>
  <c r="M2" i="15" s="1"/>
  <c r="G10" i="15"/>
  <c r="I10" i="15" s="1"/>
  <c r="M10" i="15" s="1"/>
  <c r="J6" i="15"/>
  <c r="M6" i="15" s="1"/>
  <c r="G11" i="15"/>
  <c r="I11" i="15" s="1"/>
  <c r="M11" i="15" s="1"/>
  <c r="J4" i="15"/>
  <c r="M4" i="15" s="1"/>
  <c r="G8" i="15"/>
  <c r="I8" i="15" s="1"/>
  <c r="M8" i="15" s="1"/>
  <c r="J3" i="15"/>
  <c r="M3" i="15" s="1"/>
  <c r="G7" i="15"/>
  <c r="I7" i="15" s="1"/>
  <c r="M7" i="15" s="1"/>
  <c r="G12" i="15"/>
  <c r="I12" i="15" s="1"/>
  <c r="M12" i="15" s="1"/>
  <c r="J9" i="3"/>
  <c r="K23" i="3"/>
  <c r="J24" i="3"/>
  <c r="K8" i="3"/>
  <c r="J25" i="3"/>
  <c r="J21" i="3"/>
  <c r="K19" i="3"/>
  <c r="K13" i="3"/>
  <c r="J15" i="3"/>
  <c r="K16" i="3"/>
  <c r="J17" i="3"/>
  <c r="J14" i="3"/>
  <c r="J20" i="3"/>
  <c r="N25" i="3"/>
  <c r="K24" i="3"/>
  <c r="N24" i="3" s="1"/>
  <c r="H26" i="3"/>
  <c r="J26" i="3" s="1"/>
  <c r="N26" i="3" s="1"/>
  <c r="K20" i="3"/>
  <c r="N20" i="3" s="1"/>
  <c r="K27" i="3"/>
  <c r="N27" i="3" s="1"/>
  <c r="H28" i="3"/>
  <c r="J28" i="3" s="1"/>
  <c r="N28" i="3" s="1"/>
  <c r="H23" i="3"/>
  <c r="J23" i="3" s="1"/>
  <c r="K21" i="3"/>
  <c r="N21" i="3" s="1"/>
  <c r="H22" i="3"/>
  <c r="J22" i="3" s="1"/>
  <c r="N22" i="3" s="1"/>
  <c r="J13" i="14"/>
  <c r="J12" i="14"/>
  <c r="G13" i="14"/>
  <c r="I13" i="14" s="1"/>
  <c r="M13" i="14" s="1"/>
  <c r="G12" i="14"/>
  <c r="I12" i="14" s="1"/>
  <c r="M12" i="14" s="1"/>
  <c r="F10" i="14"/>
  <c r="J10" i="14" s="1"/>
  <c r="F2" i="14"/>
  <c r="G2" i="14" s="1"/>
  <c r="I2" i="14" s="1"/>
  <c r="F4" i="14"/>
  <c r="G4" i="14" s="1"/>
  <c r="I4" i="14" s="1"/>
  <c r="F5" i="14"/>
  <c r="J5" i="14" s="1"/>
  <c r="J11" i="14"/>
  <c r="J8" i="14"/>
  <c r="J3" i="14"/>
  <c r="M3" i="14" s="1"/>
  <c r="J4" i="14"/>
  <c r="G6" i="14"/>
  <c r="I6" i="14" s="1"/>
  <c r="M6" i="14" s="1"/>
  <c r="J7" i="14"/>
  <c r="G8" i="14"/>
  <c r="I8" i="14" s="1"/>
  <c r="I7" i="14"/>
  <c r="G9" i="14"/>
  <c r="I9" i="14" s="1"/>
  <c r="M9" i="14" s="1"/>
  <c r="J10" i="13"/>
  <c r="J6" i="13"/>
  <c r="J5" i="13"/>
  <c r="M5" i="13" s="1"/>
  <c r="M6" i="13"/>
  <c r="G9" i="13"/>
  <c r="I9" i="13" s="1"/>
  <c r="M9" i="13" s="1"/>
  <c r="J4" i="13"/>
  <c r="M4" i="13" s="1"/>
  <c r="J7" i="13"/>
  <c r="M7" i="13" s="1"/>
  <c r="G2" i="13"/>
  <c r="I2" i="13" s="1"/>
  <c r="M2" i="13" s="1"/>
  <c r="G8" i="13"/>
  <c r="I8" i="13" s="1"/>
  <c r="M8" i="13" s="1"/>
  <c r="G3" i="13"/>
  <c r="I3" i="13" s="1"/>
  <c r="M3" i="13" s="1"/>
  <c r="G10" i="13"/>
  <c r="I10" i="13" s="1"/>
  <c r="M10" i="13" s="1"/>
  <c r="J6" i="6"/>
  <c r="J12" i="6"/>
  <c r="G7" i="6"/>
  <c r="I7" i="6" s="1"/>
  <c r="M7" i="6" s="1"/>
  <c r="J11" i="6"/>
  <c r="M11" i="6" s="1"/>
  <c r="G3" i="6"/>
  <c r="I3" i="6" s="1"/>
  <c r="M3" i="6" s="1"/>
  <c r="G12" i="6"/>
  <c r="I12" i="6" s="1"/>
  <c r="G6" i="6"/>
  <c r="I6" i="6" s="1"/>
  <c r="J10" i="6"/>
  <c r="M10" i="6" s="1"/>
  <c r="J4" i="6"/>
  <c r="M4" i="6" s="1"/>
  <c r="G8" i="6"/>
  <c r="I8" i="6" s="1"/>
  <c r="M8" i="6" s="1"/>
  <c r="G2" i="6"/>
  <c r="I2" i="6" s="1"/>
  <c r="M2" i="6" s="1"/>
  <c r="J10" i="1"/>
  <c r="J5" i="1"/>
  <c r="J6" i="1"/>
  <c r="J8" i="1"/>
  <c r="J9" i="1"/>
  <c r="I11" i="12"/>
  <c r="F4" i="12"/>
  <c r="H4" i="12" s="1"/>
  <c r="L4" i="12" s="1"/>
  <c r="F7" i="12"/>
  <c r="H7" i="12" s="1"/>
  <c r="L7" i="12" s="1"/>
  <c r="I10" i="12"/>
  <c r="L10" i="12" s="1"/>
  <c r="I2" i="12"/>
  <c r="L2" i="12" s="1"/>
  <c r="F11" i="12"/>
  <c r="H11" i="12" s="1"/>
  <c r="L11" i="12" s="1"/>
  <c r="F3" i="12"/>
  <c r="H3" i="12" s="1"/>
  <c r="L3" i="12" s="1"/>
  <c r="F6" i="12"/>
  <c r="H6" i="12" s="1"/>
  <c r="L6" i="12" s="1"/>
  <c r="F8" i="12"/>
  <c r="H8" i="12" s="1"/>
  <c r="L8" i="12" s="1"/>
  <c r="F12" i="12"/>
  <c r="H12" i="12" s="1"/>
  <c r="L12" i="12" s="1"/>
  <c r="J5" i="3"/>
  <c r="K4" i="3"/>
  <c r="K15" i="3"/>
  <c r="N15" i="3" s="1"/>
  <c r="K17" i="3"/>
  <c r="N17" i="3" s="1"/>
  <c r="J18" i="3"/>
  <c r="K3" i="3"/>
  <c r="K18" i="3"/>
  <c r="H13" i="3"/>
  <c r="J13" i="3" s="1"/>
  <c r="K14" i="3"/>
  <c r="H19" i="3"/>
  <c r="J19" i="3" s="1"/>
  <c r="K11" i="3"/>
  <c r="N11" i="3" s="1"/>
  <c r="H16" i="3"/>
  <c r="J16" i="3" s="1"/>
  <c r="K12" i="3"/>
  <c r="N12" i="3" s="1"/>
  <c r="H3" i="3"/>
  <c r="J3" i="3" s="1"/>
  <c r="K5" i="3"/>
  <c r="K7" i="3"/>
  <c r="N7" i="3" s="1"/>
  <c r="K9" i="3"/>
  <c r="H2" i="3"/>
  <c r="J2" i="3" s="1"/>
  <c r="N2" i="3" s="1"/>
  <c r="H4" i="3"/>
  <c r="J4" i="3" s="1"/>
  <c r="N4" i="3" s="1"/>
  <c r="H8" i="3"/>
  <c r="J8" i="3" s="1"/>
  <c r="N8" i="3" s="1"/>
  <c r="K6" i="3"/>
  <c r="N6" i="3" s="1"/>
  <c r="K10" i="3"/>
  <c r="N10" i="3" s="1"/>
  <c r="J3" i="1"/>
  <c r="G10" i="1"/>
  <c r="I10" i="1" s="1"/>
  <c r="M10" i="1" s="1"/>
  <c r="G7" i="1"/>
  <c r="I7" i="1" s="1"/>
  <c r="M7" i="1" s="1"/>
  <c r="G9" i="1"/>
  <c r="I9" i="1" s="1"/>
  <c r="M9" i="1" s="1"/>
  <c r="G6" i="1"/>
  <c r="I6" i="1" s="1"/>
  <c r="M6" i="1" s="1"/>
  <c r="G8" i="1"/>
  <c r="I8" i="1" s="1"/>
  <c r="M8" i="1" s="1"/>
  <c r="G5" i="1"/>
  <c r="I5" i="1" s="1"/>
  <c r="M5" i="1" s="1"/>
  <c r="G4" i="1"/>
  <c r="I4" i="1" s="1"/>
  <c r="M4" i="1" s="1"/>
  <c r="G3" i="1"/>
  <c r="I3" i="1" s="1"/>
  <c r="G2" i="1"/>
  <c r="I2" i="1" s="1"/>
  <c r="M2" i="1" s="1"/>
  <c r="N14" i="3" l="1"/>
  <c r="N9" i="3"/>
  <c r="N19" i="3"/>
  <c r="N13" i="3"/>
  <c r="N23" i="3"/>
  <c r="N18" i="3"/>
  <c r="N16" i="3"/>
  <c r="N5" i="3"/>
  <c r="G5" i="14"/>
  <c r="I5" i="14" s="1"/>
  <c r="M5" i="14" s="1"/>
  <c r="G10" i="14"/>
  <c r="I10" i="14" s="1"/>
  <c r="M10" i="14" s="1"/>
  <c r="G11" i="14"/>
  <c r="I11" i="14" s="1"/>
  <c r="M11" i="14" s="1"/>
  <c r="M4" i="14"/>
  <c r="J2" i="14"/>
  <c r="M2" i="14" s="1"/>
  <c r="M8" i="14"/>
  <c r="M7" i="14"/>
  <c r="M6" i="6"/>
  <c r="M12" i="6"/>
  <c r="M3" i="1"/>
  <c r="N3" i="3"/>
</calcChain>
</file>

<file path=xl/sharedStrings.xml><?xml version="1.0" encoding="utf-8"?>
<sst xmlns="http://schemas.openxmlformats.org/spreadsheetml/2006/main" count="515" uniqueCount="77">
  <si>
    <t>DAYOFWEEK</t>
  </si>
  <si>
    <t>LOCATION</t>
  </si>
  <si>
    <t>OTHRS</t>
  </si>
  <si>
    <t>OTRATE</t>
  </si>
  <si>
    <t>REGHRS</t>
  </si>
  <si>
    <t>REGRATE</t>
  </si>
  <si>
    <t>1 , 2 , 3 , 4 , 5</t>
  </si>
  <si>
    <t>DAY</t>
  </si>
  <si>
    <t>NIGHT</t>
  </si>
  <si>
    <t>GRAVEYARD</t>
  </si>
  <si>
    <t>STAT</t>
  </si>
  <si>
    <t>MON-FRI</t>
  </si>
  <si>
    <t>SAT</t>
  </si>
  <si>
    <t>SUN</t>
  </si>
  <si>
    <t>SHIFT</t>
  </si>
  <si>
    <t>DIFFERENTIAL</t>
  </si>
  <si>
    <t>STDOT</t>
  </si>
  <si>
    <t>STDREG</t>
  </si>
  <si>
    <t>mon-fri day</t>
  </si>
  <si>
    <t>mon-fri night</t>
  </si>
  <si>
    <t>mon-fri gravy</t>
  </si>
  <si>
    <t>Sat day</t>
  </si>
  <si>
    <t>Sat night</t>
  </si>
  <si>
    <t>Sun day</t>
  </si>
  <si>
    <t>Sun night</t>
  </si>
  <si>
    <t>Sun gravy</t>
  </si>
  <si>
    <t>Sat gravy</t>
  </si>
  <si>
    <t>PAY</t>
  </si>
  <si>
    <t>YEAR</t>
  </si>
  <si>
    <t>AGT, G3, CASCADIA, RICHARDSON, CARGILL, VITERRA PAC</t>
  </si>
  <si>
    <t>JOBS</t>
  </si>
  <si>
    <t>CENTENNIAL</t>
  </si>
  <si>
    <t>CENTENNIAL, VANTERM</t>
  </si>
  <si>
    <t>L</t>
  </si>
  <si>
    <t>WHEAT SPECIALTY, WHEAT MACHINE</t>
  </si>
  <si>
    <t>CENTENNIAL, VANTERM, DELTAPORT, FRASER SURREY</t>
  </si>
  <si>
    <t>RUBBER TIRE GANTRY</t>
  </si>
  <si>
    <t>FIRST AID</t>
  </si>
  <si>
    <t>TRAINER</t>
  </si>
  <si>
    <t>SUBJOB</t>
  </si>
  <si>
    <t>Multiplier</t>
  </si>
  <si>
    <t>REGULAR</t>
  </si>
  <si>
    <t>ALL</t>
  </si>
  <si>
    <t>1 , 2 , 3 , 4 , 5 , 6 , 0</t>
  </si>
  <si>
    <t>SENIOR</t>
  </si>
  <si>
    <t>RAIL, SHIP</t>
  </si>
  <si>
    <t>BARGE, YARD</t>
  </si>
  <si>
    <t>SHIP</t>
  </si>
  <si>
    <t>VANTERM</t>
  </si>
  <si>
    <t>TRACTOR TRAILER</t>
  </si>
  <si>
    <t xml:space="preserve">HD MECHANIC , CARPENTER , ELECTRICIAN , MILLWRIGHT , PLUMBER , TRACKMAN , WELDER , </t>
  </si>
  <si>
    <t>BUNNY BUS</t>
  </si>
  <si>
    <t>eff_end</t>
  </si>
  <si>
    <t>eff_start</t>
  </si>
  <si>
    <t>HEAD CHECKER</t>
  </si>
  <si>
    <t>REG</t>
  </si>
  <si>
    <t>OT</t>
  </si>
  <si>
    <t>JOB</t>
  </si>
  <si>
    <t>HEADCHECKER</t>
  </si>
  <si>
    <t>INGATE, OUTGATE, CANOPY, GOPHER, RAIL, PENTHOUSE, REEFER</t>
  </si>
  <si>
    <t>TOWER</t>
  </si>
  <si>
    <t>1, 2, 3, 4, 5</t>
  </si>
  <si>
    <t>INGATE, OUTGATE, CANOPY</t>
  </si>
  <si>
    <t>GOPHER, RAIL, REEFER</t>
  </si>
  <si>
    <t>PENTHOUSE</t>
  </si>
  <si>
    <t>GOPHER, REEFER, RAIL</t>
  </si>
  <si>
    <t>0, 6</t>
  </si>
  <si>
    <t>CENTERM</t>
  </si>
  <si>
    <t>INGATE, CANOPY, GOPHER, TOWER</t>
  </si>
  <si>
    <t>EQUIPMENT CONTROL, YARD PLANNER, RAIL PLANNER</t>
  </si>
  <si>
    <t>GOPHER - RP, RAIL</t>
  </si>
  <si>
    <t>INGATE, CANOPY, GOPHER, REEFER, EQUIPMENT CONTROL</t>
  </si>
  <si>
    <t>YARD PLANNER, RAIL PLANNER</t>
  </si>
  <si>
    <t>GOPHER, REEFER, EQUIPMENT CONTROL</t>
  </si>
  <si>
    <t>RAL, GOPHER - RP</t>
  </si>
  <si>
    <t>RAIL, GOPHER - RP</t>
  </si>
  <si>
    <t>0, 1, 2, 3, 4, 5, 6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</si>
</sst>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3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43" fontId="0" fillId="0" borderId="0" xfId="0" applyNumberFormat="1"/>
    <xf numFmtId="0" fontId="0" fillId="0" borderId="10" xfId="0" applyBorder="1"/>
    <xf numFmtId="43" fontId="0" fillId="0" borderId="10" xfId="0" applyNumberFormat="1" applyBorder="1"/>
    <xf numFmtId="0" fontId="16" fillId="0" borderId="0" xfId="0" applyFont="1" applyAlignment="1">
      <alignment horizontal="center"/>
    </xf>
    <xf numFmtId="0" fontId="0" fillId="33" borderId="0" xfId="0" applyFill="1"/>
    <xf numFmtId="0" fontId="16" fillId="33" borderId="0" xfId="0" applyFont="1" applyFill="1"/>
    <xf numFmtId="22" fontId="0" fillId="0" borderId="0" xfId="0" applyNumberFormat="1"/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C947-3427-4ECB-9897-225645A2F867}">
  <dimension ref="A1:D5"/>
  <sheetViews>
    <sheetView workbookViewId="0">
      <selection activeCell="C6" sqref="C6"/>
    </sheetView>
  </sheetViews>
  <sheetFormatPr defaultRowHeight="14.4" x14ac:dyDescent="0.55000000000000004"/>
  <cols>
    <col min="1" max="1" width="13.83984375" customWidth="1"/>
  </cols>
  <sheetData>
    <row r="1" spans="1:4" x14ac:dyDescent="0.55000000000000004">
      <c r="B1" t="s">
        <v>11</v>
      </c>
      <c r="C1" t="s">
        <v>12</v>
      </c>
      <c r="D1" t="s">
        <v>13</v>
      </c>
    </row>
    <row r="2" spans="1:4" x14ac:dyDescent="0.55000000000000004">
      <c r="A2" t="s">
        <v>7</v>
      </c>
      <c r="B2">
        <v>53.17</v>
      </c>
      <c r="C2">
        <v>68.06</v>
      </c>
      <c r="D2">
        <v>85.07</v>
      </c>
    </row>
    <row r="3" spans="1:4" x14ac:dyDescent="0.55000000000000004">
      <c r="A3" t="s">
        <v>8</v>
      </c>
      <c r="B3">
        <v>66.98</v>
      </c>
      <c r="C3">
        <v>85.07</v>
      </c>
      <c r="D3">
        <v>85.07</v>
      </c>
    </row>
    <row r="4" spans="1:4" x14ac:dyDescent="0.55000000000000004">
      <c r="A4" t="s">
        <v>9</v>
      </c>
      <c r="B4">
        <v>82.73</v>
      </c>
      <c r="C4">
        <v>85.07</v>
      </c>
      <c r="D4">
        <v>85.07</v>
      </c>
    </row>
    <row r="5" spans="1:4" x14ac:dyDescent="0.55000000000000004">
      <c r="A5" t="s">
        <v>10</v>
      </c>
      <c r="B5">
        <v>106.34</v>
      </c>
      <c r="C5">
        <v>106.34</v>
      </c>
      <c r="D5">
        <v>106.34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F738-B397-4AC3-BAD7-430B519B7913}">
  <dimension ref="A1:M12"/>
  <sheetViews>
    <sheetView workbookViewId="0">
      <selection activeCell="C3" sqref="C3"/>
    </sheetView>
  </sheetViews>
  <sheetFormatPr defaultRowHeight="14.4" x14ac:dyDescent="0.55000000000000004"/>
  <cols>
    <col min="1" max="1" width="12.41796875" customWidth="1"/>
    <col min="2" max="2" width="10.9453125" customWidth="1"/>
    <col min="3" max="3" width="71.20703125" customWidth="1"/>
    <col min="4" max="4" width="10.68359375" customWidth="1"/>
    <col min="5" max="5" width="7" customWidth="1"/>
    <col min="6" max="6" width="7.3671875" customWidth="1"/>
    <col min="7" max="7" width="11.89453125" bestFit="1" customWidth="1"/>
    <col min="8" max="8" width="8.68359375" customWidth="1"/>
    <col min="9" max="9" width="13.734375" customWidth="1"/>
  </cols>
  <sheetData>
    <row r="1" spans="1:13" x14ac:dyDescent="0.55000000000000004">
      <c r="B1" s="5" t="s">
        <v>0</v>
      </c>
      <c r="C1" s="5" t="s">
        <v>30</v>
      </c>
      <c r="D1" s="5" t="s">
        <v>14</v>
      </c>
      <c r="E1" s="5" t="s">
        <v>17</v>
      </c>
      <c r="F1" s="5" t="s">
        <v>16</v>
      </c>
      <c r="G1" s="5" t="s">
        <v>15</v>
      </c>
      <c r="H1" s="5" t="s">
        <v>3</v>
      </c>
      <c r="I1" s="5" t="s">
        <v>5</v>
      </c>
      <c r="J1" s="5" t="s">
        <v>4</v>
      </c>
      <c r="K1" s="5" t="s">
        <v>2</v>
      </c>
      <c r="L1" s="5" t="s">
        <v>27</v>
      </c>
      <c r="M1" s="5" t="s">
        <v>28</v>
      </c>
    </row>
    <row r="2" spans="1:13" x14ac:dyDescent="0.55000000000000004">
      <c r="A2" t="s">
        <v>18</v>
      </c>
      <c r="B2" t="s">
        <v>6</v>
      </c>
      <c r="C2" t="s">
        <v>50</v>
      </c>
      <c r="D2" t="s">
        <v>7</v>
      </c>
      <c r="E2">
        <f>VLOOKUP(D2,PAYRATES!$A$1:$D$5,2,FALSE)</f>
        <v>53.17</v>
      </c>
      <c r="F2">
        <f>ROUND(E2*1.5,2)</f>
        <v>79.760000000000005</v>
      </c>
      <c r="G2" s="1">
        <v>2.5</v>
      </c>
      <c r="H2">
        <f>F2+G2</f>
        <v>82.26</v>
      </c>
      <c r="I2">
        <f>E2+G2</f>
        <v>55.67</v>
      </c>
      <c r="J2" s="1">
        <v>8</v>
      </c>
      <c r="K2" s="1">
        <v>0</v>
      </c>
      <c r="L2" s="2">
        <f>(I2*J2)+(H2*K2)</f>
        <v>445.36</v>
      </c>
      <c r="M2">
        <v>2024</v>
      </c>
    </row>
    <row r="3" spans="1:13" x14ac:dyDescent="0.55000000000000004">
      <c r="A3" t="s">
        <v>19</v>
      </c>
      <c r="B3" t="s">
        <v>6</v>
      </c>
      <c r="C3" t="str">
        <f>C$2</f>
        <v xml:space="preserve">HD MECHANIC , CARPENTER , ELECTRICIAN , MILLWRIGHT , PLUMBER , TRACKMAN , WELDER , </v>
      </c>
      <c r="D3" t="s">
        <v>8</v>
      </c>
      <c r="E3">
        <f>VLOOKUP(D3,PAYRATES!$A$1:$D$5,2,FALSE)</f>
        <v>66.98</v>
      </c>
      <c r="F3">
        <f>ROUND(E3*1.5,2)</f>
        <v>100.47</v>
      </c>
      <c r="G3">
        <f>G$2</f>
        <v>2.5</v>
      </c>
      <c r="H3">
        <f>F3+G3</f>
        <v>102.97</v>
      </c>
      <c r="I3">
        <f>E3+G3</f>
        <v>69.48</v>
      </c>
      <c r="J3">
        <f>J$2</f>
        <v>8</v>
      </c>
      <c r="K3">
        <f>K$2</f>
        <v>0</v>
      </c>
      <c r="L3" s="2">
        <f t="shared" ref="L3:L4" si="0">(I3*J3)+(H3*K3)</f>
        <v>555.84</v>
      </c>
      <c r="M3">
        <v>2024</v>
      </c>
    </row>
    <row r="4" spans="1:13" x14ac:dyDescent="0.55000000000000004">
      <c r="A4" t="s">
        <v>20</v>
      </c>
      <c r="B4" t="s">
        <v>6</v>
      </c>
      <c r="C4" t="str">
        <f>C$2</f>
        <v xml:space="preserve">HD MECHANIC , CARPENTER , ELECTRICIAN , MILLWRIGHT , PLUMBER , TRACKMAN , WELDER , </v>
      </c>
      <c r="D4" t="s">
        <v>9</v>
      </c>
      <c r="E4">
        <f>VLOOKUP(D4,PAYRATES!$A$1:$D$5,2,FALSE)</f>
        <v>82.73</v>
      </c>
      <c r="F4">
        <f>ROUND(E4*1.5,2)</f>
        <v>124.1</v>
      </c>
      <c r="G4">
        <f>G$2</f>
        <v>2.5</v>
      </c>
      <c r="H4">
        <f>F4+G4</f>
        <v>126.6</v>
      </c>
      <c r="I4">
        <f>E4+G4</f>
        <v>85.23</v>
      </c>
      <c r="J4">
        <f>J$2</f>
        <v>8</v>
      </c>
      <c r="K4">
        <f>K$2</f>
        <v>0</v>
      </c>
      <c r="L4" s="2">
        <f t="shared" si="0"/>
        <v>681.84</v>
      </c>
      <c r="M4">
        <v>2024</v>
      </c>
    </row>
    <row r="5" spans="1:13" x14ac:dyDescent="0.55000000000000004">
      <c r="L5" s="2"/>
    </row>
    <row r="6" spans="1:13" x14ac:dyDescent="0.55000000000000004">
      <c r="A6" t="s">
        <v>21</v>
      </c>
      <c r="B6">
        <v>6</v>
      </c>
      <c r="C6" t="str">
        <f t="shared" ref="C6:C8" si="1">C$2</f>
        <v xml:space="preserve">HD MECHANIC , CARPENTER , ELECTRICIAN , MILLWRIGHT , PLUMBER , TRACKMAN , WELDER , </v>
      </c>
      <c r="D6" t="s">
        <v>7</v>
      </c>
      <c r="E6">
        <f>VLOOKUP(D6,PAYRATES!$A$1:$D$5,3,FALSE)</f>
        <v>68.06</v>
      </c>
      <c r="F6">
        <f>ROUND(E6*1.5,2)</f>
        <v>102.09</v>
      </c>
      <c r="G6">
        <f t="shared" ref="G6:G8" si="2">G$2</f>
        <v>2.5</v>
      </c>
      <c r="H6">
        <f>F6+G6</f>
        <v>104.59</v>
      </c>
      <c r="I6">
        <f>E6+G6</f>
        <v>70.56</v>
      </c>
      <c r="J6">
        <f t="shared" ref="J6:K8" si="3">J$2</f>
        <v>8</v>
      </c>
      <c r="K6">
        <f t="shared" si="3"/>
        <v>0</v>
      </c>
      <c r="L6" s="2">
        <f t="shared" ref="L6:L8" si="4">(I6*J6)+(H6*K6)</f>
        <v>564.48</v>
      </c>
      <c r="M6">
        <v>2024</v>
      </c>
    </row>
    <row r="7" spans="1:13" x14ac:dyDescent="0.55000000000000004">
      <c r="A7" t="s">
        <v>22</v>
      </c>
      <c r="B7">
        <v>6</v>
      </c>
      <c r="C7" t="str">
        <f t="shared" si="1"/>
        <v xml:space="preserve">HD MECHANIC , CARPENTER , ELECTRICIAN , MILLWRIGHT , PLUMBER , TRACKMAN , WELDER , </v>
      </c>
      <c r="D7" t="s">
        <v>8</v>
      </c>
      <c r="E7">
        <f>VLOOKUP(D7,PAYRATES!$A$1:$D$5,3,FALSE)</f>
        <v>85.07</v>
      </c>
      <c r="F7">
        <f>ROUND(E7*1.5,2)</f>
        <v>127.61</v>
      </c>
      <c r="G7">
        <f t="shared" si="2"/>
        <v>2.5</v>
      </c>
      <c r="H7">
        <f>F7+G7</f>
        <v>130.11000000000001</v>
      </c>
      <c r="I7">
        <f>E7+G7</f>
        <v>87.57</v>
      </c>
      <c r="J7">
        <f t="shared" si="3"/>
        <v>8</v>
      </c>
      <c r="K7">
        <f t="shared" si="3"/>
        <v>0</v>
      </c>
      <c r="L7" s="2">
        <f t="shared" si="4"/>
        <v>700.56</v>
      </c>
      <c r="M7">
        <v>2024</v>
      </c>
    </row>
    <row r="8" spans="1:13" x14ac:dyDescent="0.55000000000000004">
      <c r="A8" t="s">
        <v>26</v>
      </c>
      <c r="B8">
        <v>6</v>
      </c>
      <c r="C8" t="str">
        <f t="shared" si="1"/>
        <v xml:space="preserve">HD MECHANIC , CARPENTER , ELECTRICIAN , MILLWRIGHT , PLUMBER , TRACKMAN , WELDER , </v>
      </c>
      <c r="D8" t="s">
        <v>9</v>
      </c>
      <c r="E8">
        <f>VLOOKUP(D8,PAYRATES!$A$1:$D$5,3,FALSE)</f>
        <v>85.07</v>
      </c>
      <c r="F8">
        <f>ROUND(E8*1.5,2)</f>
        <v>127.61</v>
      </c>
      <c r="G8">
        <f t="shared" si="2"/>
        <v>2.5</v>
      </c>
      <c r="H8">
        <f>F8+G8</f>
        <v>130.11000000000001</v>
      </c>
      <c r="I8">
        <f>E8+G8</f>
        <v>87.57</v>
      </c>
      <c r="J8">
        <f t="shared" si="3"/>
        <v>8</v>
      </c>
      <c r="K8">
        <f t="shared" si="3"/>
        <v>0</v>
      </c>
      <c r="L8" s="2">
        <f t="shared" si="4"/>
        <v>700.56</v>
      </c>
      <c r="M8">
        <v>2024</v>
      </c>
    </row>
    <row r="9" spans="1:13" x14ac:dyDescent="0.55000000000000004">
      <c r="L9" s="2"/>
    </row>
    <row r="10" spans="1:13" x14ac:dyDescent="0.55000000000000004">
      <c r="A10" t="s">
        <v>23</v>
      </c>
      <c r="B10">
        <v>0</v>
      </c>
      <c r="C10" t="str">
        <f t="shared" ref="C10:C12" si="5">C$2</f>
        <v xml:space="preserve">HD MECHANIC , CARPENTER , ELECTRICIAN , MILLWRIGHT , PLUMBER , TRACKMAN , WELDER , </v>
      </c>
      <c r="D10" t="s">
        <v>7</v>
      </c>
      <c r="E10">
        <f>VLOOKUP(D10,PAYRATES!$A$1:$D$5,4,FALSE)</f>
        <v>85.07</v>
      </c>
      <c r="F10">
        <f>ROUND(E10*1.5,2)</f>
        <v>127.61</v>
      </c>
      <c r="G10">
        <f t="shared" ref="G10:G12" si="6">G$2</f>
        <v>2.5</v>
      </c>
      <c r="H10">
        <f>F10+G10</f>
        <v>130.11000000000001</v>
      </c>
      <c r="I10">
        <f>E10+G10</f>
        <v>87.57</v>
      </c>
      <c r="J10">
        <f t="shared" ref="J10:K12" si="7">J$2</f>
        <v>8</v>
      </c>
      <c r="K10">
        <f t="shared" si="7"/>
        <v>0</v>
      </c>
      <c r="L10" s="2">
        <f t="shared" ref="L10:L12" si="8">(I10*J10)+(H10*K10)</f>
        <v>700.56</v>
      </c>
      <c r="M10">
        <v>2024</v>
      </c>
    </row>
    <row r="11" spans="1:13" x14ac:dyDescent="0.55000000000000004">
      <c r="A11" t="s">
        <v>24</v>
      </c>
      <c r="B11">
        <v>0</v>
      </c>
      <c r="C11" t="str">
        <f t="shared" si="5"/>
        <v xml:space="preserve">HD MECHANIC , CARPENTER , ELECTRICIAN , MILLWRIGHT , PLUMBER , TRACKMAN , WELDER , </v>
      </c>
      <c r="D11" t="s">
        <v>8</v>
      </c>
      <c r="E11">
        <f>VLOOKUP(D11,PAYRATES!$A$1:$D$5,4,FALSE)</f>
        <v>85.07</v>
      </c>
      <c r="F11">
        <f>ROUND(E11*1.5,2)</f>
        <v>127.61</v>
      </c>
      <c r="G11">
        <f t="shared" si="6"/>
        <v>2.5</v>
      </c>
      <c r="H11">
        <f>F11+G11</f>
        <v>130.11000000000001</v>
      </c>
      <c r="I11">
        <f>E11+G11</f>
        <v>87.57</v>
      </c>
      <c r="J11">
        <f t="shared" si="7"/>
        <v>8</v>
      </c>
      <c r="K11">
        <f t="shared" si="7"/>
        <v>0</v>
      </c>
      <c r="L11" s="2">
        <f t="shared" si="8"/>
        <v>700.56</v>
      </c>
      <c r="M11">
        <v>2024</v>
      </c>
    </row>
    <row r="12" spans="1:13" x14ac:dyDescent="0.55000000000000004">
      <c r="A12" t="s">
        <v>25</v>
      </c>
      <c r="B12">
        <v>0</v>
      </c>
      <c r="C12" t="str">
        <f t="shared" si="5"/>
        <v xml:space="preserve">HD MECHANIC , CARPENTER , ELECTRICIAN , MILLWRIGHT , PLUMBER , TRACKMAN , WELDER , </v>
      </c>
      <c r="D12" t="s">
        <v>9</v>
      </c>
      <c r="E12">
        <f>VLOOKUP(D12,PAYRATES!$A$1:$D$5,4,FALSE)</f>
        <v>85.07</v>
      </c>
      <c r="F12">
        <f>ROUND(E12*1.5,2)</f>
        <v>127.61</v>
      </c>
      <c r="G12">
        <f t="shared" si="6"/>
        <v>2.5</v>
      </c>
      <c r="H12">
        <f>F12+G12</f>
        <v>130.11000000000001</v>
      </c>
      <c r="I12">
        <f>E12+G12</f>
        <v>87.57</v>
      </c>
      <c r="J12">
        <f t="shared" si="7"/>
        <v>8</v>
      </c>
      <c r="K12">
        <f t="shared" si="7"/>
        <v>0</v>
      </c>
      <c r="L12" s="2">
        <f t="shared" si="8"/>
        <v>700.56</v>
      </c>
      <c r="M1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086F-8CE5-41C4-9D74-F4FAEB76EFA0}">
  <dimension ref="A1:N10"/>
  <sheetViews>
    <sheetView zoomScaleNormal="100" workbookViewId="0">
      <selection activeCell="C24" sqref="C24"/>
    </sheetView>
  </sheetViews>
  <sheetFormatPr defaultRowHeight="14.4" x14ac:dyDescent="0.55000000000000004"/>
  <cols>
    <col min="1" max="1" width="12.41796875" customWidth="1"/>
    <col min="2" max="2" width="10.9453125" customWidth="1"/>
    <col min="3" max="3" width="29.62890625" customWidth="1"/>
    <col min="4" max="4" width="10.68359375" customWidth="1"/>
    <col min="5" max="5" width="29.9453125" customWidth="1"/>
    <col min="6" max="6" width="7" customWidth="1"/>
    <col min="7" max="7" width="7.3671875" customWidth="1"/>
    <col min="8" max="8" width="11.89453125" bestFit="1" customWidth="1"/>
    <col min="9" max="9" width="8.68359375" customWidth="1"/>
    <col min="10" max="10" width="13.734375" customWidth="1"/>
  </cols>
  <sheetData>
    <row r="1" spans="1:14" x14ac:dyDescent="0.55000000000000004">
      <c r="B1" s="5" t="s">
        <v>0</v>
      </c>
      <c r="C1" s="5" t="s">
        <v>30</v>
      </c>
      <c r="D1" s="5" t="s">
        <v>14</v>
      </c>
      <c r="E1" s="5" t="s">
        <v>1</v>
      </c>
      <c r="F1" s="5" t="s">
        <v>17</v>
      </c>
      <c r="G1" s="5" t="s">
        <v>16</v>
      </c>
      <c r="H1" s="5" t="s">
        <v>15</v>
      </c>
      <c r="I1" s="5" t="s">
        <v>3</v>
      </c>
      <c r="J1" s="5" t="s">
        <v>5</v>
      </c>
      <c r="K1" s="5" t="s">
        <v>4</v>
      </c>
      <c r="L1" s="5" t="s">
        <v>2</v>
      </c>
      <c r="M1" s="5" t="s">
        <v>27</v>
      </c>
      <c r="N1" s="5" t="s">
        <v>28</v>
      </c>
    </row>
    <row r="2" spans="1:14" x14ac:dyDescent="0.55000000000000004">
      <c r="A2" t="s">
        <v>18</v>
      </c>
      <c r="B2" t="s">
        <v>6</v>
      </c>
      <c r="C2" t="s">
        <v>34</v>
      </c>
      <c r="D2" t="s">
        <v>7</v>
      </c>
      <c r="E2" t="s">
        <v>29</v>
      </c>
      <c r="F2">
        <f>VLOOKUP(D2,PAYRATES!$A$1:$D$5,2,FALSE)</f>
        <v>53.17</v>
      </c>
      <c r="G2">
        <f t="shared" ref="G2:G10" si="0">ROUND(F2*1.5,2)</f>
        <v>79.760000000000005</v>
      </c>
      <c r="H2" s="1">
        <v>1.1499999999999999</v>
      </c>
      <c r="I2">
        <f t="shared" ref="I2:I10" si="1">G2+H2</f>
        <v>80.910000000000011</v>
      </c>
      <c r="J2">
        <f t="shared" ref="J2:J10" si="2">F2+H2</f>
        <v>54.32</v>
      </c>
      <c r="K2">
        <v>7.5</v>
      </c>
      <c r="L2">
        <v>0.5</v>
      </c>
      <c r="M2" s="2">
        <f>(J2*K2)+(I2*L2)</f>
        <v>447.85499999999996</v>
      </c>
      <c r="N2">
        <v>2024</v>
      </c>
    </row>
    <row r="3" spans="1:14" x14ac:dyDescent="0.55000000000000004">
      <c r="A3" t="s">
        <v>19</v>
      </c>
      <c r="B3" t="s">
        <v>6</v>
      </c>
      <c r="C3" t="str">
        <f>C$2</f>
        <v>WHEAT SPECIALTY, WHEAT MACHINE</v>
      </c>
      <c r="D3" t="s">
        <v>8</v>
      </c>
      <c r="E3" t="str">
        <f>E$2</f>
        <v>AGT, G3, CASCADIA, RICHARDSON, CARGILL, VITERRA PAC</v>
      </c>
      <c r="F3">
        <f>VLOOKUP(D3,PAYRATES!$A$1:$D$5,2,FALSE)</f>
        <v>66.98</v>
      </c>
      <c r="G3">
        <f t="shared" si="0"/>
        <v>100.47</v>
      </c>
      <c r="H3">
        <f>H$2</f>
        <v>1.1499999999999999</v>
      </c>
      <c r="I3">
        <f t="shared" si="1"/>
        <v>101.62</v>
      </c>
      <c r="J3">
        <f t="shared" si="2"/>
        <v>68.13000000000001</v>
      </c>
      <c r="K3">
        <v>7.5</v>
      </c>
      <c r="L3">
        <v>0.5</v>
      </c>
      <c r="M3" s="2">
        <f t="shared" ref="M3:M4" si="3">(J3*K3)+(I3*L3)</f>
        <v>561.78500000000008</v>
      </c>
      <c r="N3">
        <v>2024</v>
      </c>
    </row>
    <row r="4" spans="1:14" s="3" customFormat="1" x14ac:dyDescent="0.55000000000000004">
      <c r="A4" s="3" t="s">
        <v>20</v>
      </c>
      <c r="B4" s="3" t="s">
        <v>6</v>
      </c>
      <c r="C4" s="3" t="str">
        <f>C$2</f>
        <v>WHEAT SPECIALTY, WHEAT MACHINE</v>
      </c>
      <c r="D4" s="3" t="s">
        <v>9</v>
      </c>
      <c r="E4" s="3" t="str">
        <f>E$2</f>
        <v>AGT, G3, CASCADIA, RICHARDSON, CARGILL, VITERRA PAC</v>
      </c>
      <c r="F4" s="3">
        <f>VLOOKUP(D4,PAYRATES!$A$1:$D$5,2,FALSE)</f>
        <v>82.73</v>
      </c>
      <c r="G4" s="3">
        <f t="shared" si="0"/>
        <v>124.1</v>
      </c>
      <c r="H4" s="3">
        <f>H$2</f>
        <v>1.1499999999999999</v>
      </c>
      <c r="I4" s="3">
        <f t="shared" si="1"/>
        <v>125.25</v>
      </c>
      <c r="J4" s="3">
        <f t="shared" si="2"/>
        <v>83.88000000000001</v>
      </c>
      <c r="K4" s="3">
        <v>7.5</v>
      </c>
      <c r="L4" s="3">
        <v>0.5</v>
      </c>
      <c r="M4" s="4">
        <f t="shared" si="3"/>
        <v>691.72500000000002</v>
      </c>
      <c r="N4" s="3">
        <v>2024</v>
      </c>
    </row>
    <row r="5" spans="1:14" x14ac:dyDescent="0.55000000000000004">
      <c r="A5" t="s">
        <v>21</v>
      </c>
      <c r="B5">
        <v>6</v>
      </c>
      <c r="C5" t="str">
        <f t="shared" ref="C5:C7" si="4">C$2</f>
        <v>WHEAT SPECIALTY, WHEAT MACHINE</v>
      </c>
      <c r="D5" t="s">
        <v>7</v>
      </c>
      <c r="E5" t="str">
        <f t="shared" ref="E5:E7" si="5">E$2</f>
        <v>AGT, G3, CASCADIA, RICHARDSON, CARGILL, VITERRA PAC</v>
      </c>
      <c r="F5">
        <f>VLOOKUP(D5,PAYRATES!$A$1:$D$5,3,FALSE)</f>
        <v>68.06</v>
      </c>
      <c r="G5">
        <f t="shared" si="0"/>
        <v>102.09</v>
      </c>
      <c r="H5">
        <f t="shared" ref="H5:H7" si="6">H$2</f>
        <v>1.1499999999999999</v>
      </c>
      <c r="I5">
        <f t="shared" si="1"/>
        <v>103.24000000000001</v>
      </c>
      <c r="J5">
        <f t="shared" si="2"/>
        <v>69.210000000000008</v>
      </c>
      <c r="K5">
        <v>7.5</v>
      </c>
      <c r="L5">
        <v>0.5</v>
      </c>
      <c r="M5" s="2">
        <f t="shared" ref="M5:M7" si="7">(J5*K5)+(I5*L5)</f>
        <v>570.69500000000005</v>
      </c>
      <c r="N5">
        <v>2024</v>
      </c>
    </row>
    <row r="6" spans="1:14" x14ac:dyDescent="0.55000000000000004">
      <c r="A6" t="s">
        <v>22</v>
      </c>
      <c r="B6">
        <v>6</v>
      </c>
      <c r="C6" t="str">
        <f t="shared" si="4"/>
        <v>WHEAT SPECIALTY, WHEAT MACHINE</v>
      </c>
      <c r="D6" t="s">
        <v>8</v>
      </c>
      <c r="E6" t="str">
        <f t="shared" si="5"/>
        <v>AGT, G3, CASCADIA, RICHARDSON, CARGILL, VITERRA PAC</v>
      </c>
      <c r="F6">
        <f>VLOOKUP(D6,PAYRATES!$A$1:$D$5,3,FALSE)</f>
        <v>85.07</v>
      </c>
      <c r="G6">
        <f t="shared" si="0"/>
        <v>127.61</v>
      </c>
      <c r="H6">
        <f t="shared" si="6"/>
        <v>1.1499999999999999</v>
      </c>
      <c r="I6">
        <f t="shared" si="1"/>
        <v>128.76</v>
      </c>
      <c r="J6">
        <f t="shared" si="2"/>
        <v>86.22</v>
      </c>
      <c r="K6">
        <v>7.5</v>
      </c>
      <c r="L6">
        <v>0.5</v>
      </c>
      <c r="M6" s="2">
        <f t="shared" si="7"/>
        <v>711.03</v>
      </c>
      <c r="N6">
        <v>2024</v>
      </c>
    </row>
    <row r="7" spans="1:14" s="3" customFormat="1" x14ac:dyDescent="0.55000000000000004">
      <c r="A7" s="3" t="s">
        <v>26</v>
      </c>
      <c r="B7" s="3">
        <v>6</v>
      </c>
      <c r="C7" s="3" t="str">
        <f t="shared" si="4"/>
        <v>WHEAT SPECIALTY, WHEAT MACHINE</v>
      </c>
      <c r="D7" s="3" t="s">
        <v>9</v>
      </c>
      <c r="E7" s="3" t="str">
        <f t="shared" si="5"/>
        <v>AGT, G3, CASCADIA, RICHARDSON, CARGILL, VITERRA PAC</v>
      </c>
      <c r="F7" s="3">
        <f>VLOOKUP(D7,PAYRATES!$A$1:$D$5,3,FALSE)</f>
        <v>85.07</v>
      </c>
      <c r="G7" s="3">
        <f t="shared" si="0"/>
        <v>127.61</v>
      </c>
      <c r="H7" s="3">
        <f t="shared" si="6"/>
        <v>1.1499999999999999</v>
      </c>
      <c r="I7" s="3">
        <f t="shared" si="1"/>
        <v>128.76</v>
      </c>
      <c r="J7" s="3">
        <f t="shared" si="2"/>
        <v>86.22</v>
      </c>
      <c r="K7" s="3">
        <v>7.5</v>
      </c>
      <c r="L7" s="3">
        <v>0.5</v>
      </c>
      <c r="M7" s="4">
        <f t="shared" si="7"/>
        <v>711.03</v>
      </c>
      <c r="N7" s="3">
        <v>2024</v>
      </c>
    </row>
    <row r="8" spans="1:14" x14ac:dyDescent="0.55000000000000004">
      <c r="A8" t="s">
        <v>23</v>
      </c>
      <c r="B8">
        <v>0</v>
      </c>
      <c r="C8" t="str">
        <f t="shared" ref="C8:C10" si="8">C$2</f>
        <v>WHEAT SPECIALTY, WHEAT MACHINE</v>
      </c>
      <c r="D8" t="s">
        <v>7</v>
      </c>
      <c r="E8" t="str">
        <f t="shared" ref="E8:E10" si="9">E$2</f>
        <v>AGT, G3, CASCADIA, RICHARDSON, CARGILL, VITERRA PAC</v>
      </c>
      <c r="F8">
        <f>VLOOKUP(D8,PAYRATES!$A$1:$D$5,4,FALSE)</f>
        <v>85.07</v>
      </c>
      <c r="G8">
        <f t="shared" si="0"/>
        <v>127.61</v>
      </c>
      <c r="H8">
        <f t="shared" ref="H8:H10" si="10">H$2</f>
        <v>1.1499999999999999</v>
      </c>
      <c r="I8">
        <f t="shared" si="1"/>
        <v>128.76</v>
      </c>
      <c r="J8">
        <f t="shared" si="2"/>
        <v>86.22</v>
      </c>
      <c r="K8">
        <v>7.5</v>
      </c>
      <c r="L8">
        <v>0.5</v>
      </c>
      <c r="M8" s="2">
        <f t="shared" ref="M8:M10" si="11">(J8*K8)+(I8*L8)</f>
        <v>711.03</v>
      </c>
      <c r="N8">
        <v>2024</v>
      </c>
    </row>
    <row r="9" spans="1:14" x14ac:dyDescent="0.55000000000000004">
      <c r="A9" t="s">
        <v>24</v>
      </c>
      <c r="B9">
        <v>0</v>
      </c>
      <c r="C9" t="str">
        <f t="shared" si="8"/>
        <v>WHEAT SPECIALTY, WHEAT MACHINE</v>
      </c>
      <c r="D9" t="s">
        <v>8</v>
      </c>
      <c r="E9" t="str">
        <f t="shared" si="9"/>
        <v>AGT, G3, CASCADIA, RICHARDSON, CARGILL, VITERRA PAC</v>
      </c>
      <c r="F9">
        <f>VLOOKUP(D9,PAYRATES!$A$1:$D$5,4,FALSE)</f>
        <v>85.07</v>
      </c>
      <c r="G9">
        <f t="shared" si="0"/>
        <v>127.61</v>
      </c>
      <c r="H9">
        <f t="shared" si="10"/>
        <v>1.1499999999999999</v>
      </c>
      <c r="I9">
        <f t="shared" si="1"/>
        <v>128.76</v>
      </c>
      <c r="J9">
        <f t="shared" si="2"/>
        <v>86.22</v>
      </c>
      <c r="K9">
        <v>7.5</v>
      </c>
      <c r="L9">
        <v>0.5</v>
      </c>
      <c r="M9" s="2">
        <f t="shared" si="11"/>
        <v>711.03</v>
      </c>
      <c r="N9">
        <v>2024</v>
      </c>
    </row>
    <row r="10" spans="1:14" x14ac:dyDescent="0.55000000000000004">
      <c r="A10" t="s">
        <v>25</v>
      </c>
      <c r="B10">
        <v>0</v>
      </c>
      <c r="C10" t="str">
        <f t="shared" si="8"/>
        <v>WHEAT SPECIALTY, WHEAT MACHINE</v>
      </c>
      <c r="D10" t="s">
        <v>9</v>
      </c>
      <c r="E10" t="str">
        <f t="shared" si="9"/>
        <v>AGT, G3, CASCADIA, RICHARDSON, CARGILL, VITERRA PAC</v>
      </c>
      <c r="F10">
        <f>VLOOKUP(D10,PAYRATES!$A$1:$D$5,4,FALSE)</f>
        <v>85.07</v>
      </c>
      <c r="G10">
        <f t="shared" si="0"/>
        <v>127.61</v>
      </c>
      <c r="H10">
        <f t="shared" si="10"/>
        <v>1.1499999999999999</v>
      </c>
      <c r="I10">
        <f t="shared" si="1"/>
        <v>128.76</v>
      </c>
      <c r="J10">
        <f t="shared" si="2"/>
        <v>86.22</v>
      </c>
      <c r="K10">
        <v>7.5</v>
      </c>
      <c r="L10">
        <v>0.5</v>
      </c>
      <c r="M10" s="2">
        <f t="shared" si="11"/>
        <v>711.03</v>
      </c>
      <c r="N10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6CD6-7BA4-44F5-B2C2-AD17E835FB1F}">
  <dimension ref="A1:O28"/>
  <sheetViews>
    <sheetView workbookViewId="0">
      <selection activeCell="D31" sqref="D31"/>
    </sheetView>
  </sheetViews>
  <sheetFormatPr defaultRowHeight="14.4" x14ac:dyDescent="0.55000000000000004"/>
  <cols>
    <col min="1" max="1" width="12.41796875" customWidth="1"/>
    <col min="2" max="2" width="10.9453125" customWidth="1"/>
    <col min="3" max="3" width="41.1015625" customWidth="1"/>
    <col min="4" max="4" width="10.68359375" customWidth="1"/>
    <col min="5" max="5" width="14.3671875" customWidth="1"/>
    <col min="6" max="6" width="27.89453125" customWidth="1"/>
    <col min="7" max="7" width="7" customWidth="1"/>
    <col min="8" max="8" width="7.3671875" customWidth="1"/>
    <col min="9" max="9" width="11.89453125" bestFit="1" customWidth="1"/>
    <col min="10" max="10" width="8.68359375" customWidth="1"/>
    <col min="11" max="11" width="13.734375" customWidth="1"/>
  </cols>
  <sheetData>
    <row r="1" spans="1:15" x14ac:dyDescent="0.55000000000000004">
      <c r="B1" s="1" t="s">
        <v>0</v>
      </c>
      <c r="C1" s="1" t="s">
        <v>30</v>
      </c>
      <c r="D1" s="1" t="s">
        <v>14</v>
      </c>
      <c r="E1" s="1" t="s">
        <v>39</v>
      </c>
      <c r="F1" s="1" t="s">
        <v>1</v>
      </c>
      <c r="G1" s="1" t="s">
        <v>17</v>
      </c>
      <c r="H1" s="1" t="s">
        <v>16</v>
      </c>
      <c r="I1" s="1" t="s">
        <v>15</v>
      </c>
      <c r="J1" s="1" t="s">
        <v>3</v>
      </c>
      <c r="K1" s="1" t="s">
        <v>5</v>
      </c>
      <c r="L1" s="1" t="s">
        <v>4</v>
      </c>
      <c r="M1" s="1" t="s">
        <v>2</v>
      </c>
      <c r="N1" s="1" t="s">
        <v>27</v>
      </c>
      <c r="O1" s="1" t="s">
        <v>28</v>
      </c>
    </row>
    <row r="2" spans="1:15" x14ac:dyDescent="0.55000000000000004">
      <c r="A2" t="s">
        <v>18</v>
      </c>
      <c r="B2" t="s">
        <v>6</v>
      </c>
      <c r="C2" t="s">
        <v>49</v>
      </c>
      <c r="D2" t="s">
        <v>7</v>
      </c>
      <c r="E2" s="7" t="s">
        <v>45</v>
      </c>
      <c r="F2" s="7" t="s">
        <v>31</v>
      </c>
      <c r="G2">
        <f>VLOOKUP(D2,PAYRATES!$A$1:$D$5,2,FALSE)</f>
        <v>53.17</v>
      </c>
      <c r="H2">
        <f t="shared" ref="H2:H19" si="0">ROUND(G2*1.5,2)</f>
        <v>79.760000000000005</v>
      </c>
      <c r="I2" s="7">
        <v>0.65</v>
      </c>
      <c r="J2">
        <f t="shared" ref="J2:J19" si="1">H2+I2</f>
        <v>80.410000000000011</v>
      </c>
      <c r="K2">
        <f t="shared" ref="K2:K19" si="2">G2+I2</f>
        <v>53.82</v>
      </c>
      <c r="L2">
        <v>9</v>
      </c>
      <c r="M2">
        <v>0</v>
      </c>
      <c r="N2" s="2">
        <f>(K2*L2)+(J2*M2)</f>
        <v>484.38</v>
      </c>
      <c r="O2">
        <v>2024</v>
      </c>
    </row>
    <row r="3" spans="1:15" x14ac:dyDescent="0.55000000000000004">
      <c r="A3" t="s">
        <v>19</v>
      </c>
      <c r="B3" t="s">
        <v>6</v>
      </c>
      <c r="C3" t="str">
        <f>C$2</f>
        <v>TRACTOR TRAILER</v>
      </c>
      <c r="D3" t="s">
        <v>8</v>
      </c>
      <c r="E3" t="str">
        <f>E$2</f>
        <v>RAIL, SHIP</v>
      </c>
      <c r="F3" t="str">
        <f>F$2</f>
        <v>CENTENNIAL</v>
      </c>
      <c r="G3">
        <f>VLOOKUP(D3,PAYRATES!$A$1:$D$5,2,FALSE)</f>
        <v>66.98</v>
      </c>
      <c r="H3">
        <f t="shared" si="0"/>
        <v>100.47</v>
      </c>
      <c r="I3">
        <f>I$2</f>
        <v>0.65</v>
      </c>
      <c r="J3">
        <f t="shared" si="1"/>
        <v>101.12</v>
      </c>
      <c r="K3">
        <f t="shared" si="2"/>
        <v>67.63000000000001</v>
      </c>
      <c r="L3">
        <v>9</v>
      </c>
      <c r="M3">
        <v>0</v>
      </c>
      <c r="N3" s="2">
        <f t="shared" ref="N3:N4" si="3">(K3*L3)+(J3*M3)</f>
        <v>608.67000000000007</v>
      </c>
      <c r="O3">
        <v>2024</v>
      </c>
    </row>
    <row r="4" spans="1:15" x14ac:dyDescent="0.55000000000000004">
      <c r="A4" t="s">
        <v>20</v>
      </c>
      <c r="B4" t="s">
        <v>6</v>
      </c>
      <c r="C4" t="str">
        <f t="shared" ref="C4:C20" si="4">C$2</f>
        <v>TRACTOR TRAILER</v>
      </c>
      <c r="D4" t="s">
        <v>9</v>
      </c>
      <c r="E4" t="str">
        <f t="shared" ref="E4:E10" si="5">E$2</f>
        <v>RAIL, SHIP</v>
      </c>
      <c r="F4" t="str">
        <f>F$2</f>
        <v>CENTENNIAL</v>
      </c>
      <c r="G4">
        <f>VLOOKUP(D4,PAYRATES!$A$1:$D$5,2,FALSE)</f>
        <v>82.73</v>
      </c>
      <c r="H4">
        <f t="shared" si="0"/>
        <v>124.1</v>
      </c>
      <c r="I4">
        <f t="shared" ref="I4:I28" si="6">I$2</f>
        <v>0.65</v>
      </c>
      <c r="J4">
        <f t="shared" si="1"/>
        <v>124.75</v>
      </c>
      <c r="K4">
        <f t="shared" si="2"/>
        <v>83.38000000000001</v>
      </c>
      <c r="L4">
        <v>7.5</v>
      </c>
      <c r="M4">
        <v>0</v>
      </c>
      <c r="N4" s="2">
        <f t="shared" si="3"/>
        <v>625.35</v>
      </c>
      <c r="O4">
        <v>2024</v>
      </c>
    </row>
    <row r="5" spans="1:15" x14ac:dyDescent="0.55000000000000004">
      <c r="A5" t="s">
        <v>21</v>
      </c>
      <c r="B5">
        <v>6</v>
      </c>
      <c r="C5" t="str">
        <f t="shared" si="4"/>
        <v>TRACTOR TRAILER</v>
      </c>
      <c r="D5" t="s">
        <v>7</v>
      </c>
      <c r="E5" t="str">
        <f t="shared" si="5"/>
        <v>RAIL, SHIP</v>
      </c>
      <c r="F5" t="str">
        <f t="shared" ref="F5:F7" si="7">F$2</f>
        <v>CENTENNIAL</v>
      </c>
      <c r="G5">
        <f>VLOOKUP(D5,PAYRATES!$A$1:$D$5,3,FALSE)</f>
        <v>68.06</v>
      </c>
      <c r="H5">
        <f t="shared" si="0"/>
        <v>102.09</v>
      </c>
      <c r="I5">
        <f t="shared" si="6"/>
        <v>0.65</v>
      </c>
      <c r="J5">
        <f t="shared" si="1"/>
        <v>102.74000000000001</v>
      </c>
      <c r="K5">
        <f t="shared" si="2"/>
        <v>68.710000000000008</v>
      </c>
      <c r="L5">
        <v>9</v>
      </c>
      <c r="M5">
        <v>0</v>
      </c>
      <c r="N5" s="2">
        <f t="shared" ref="N5:N7" si="8">(K5*L5)+(J5*M5)</f>
        <v>618.3900000000001</v>
      </c>
      <c r="O5">
        <v>2024</v>
      </c>
    </row>
    <row r="6" spans="1:15" x14ac:dyDescent="0.55000000000000004">
      <c r="A6" t="s">
        <v>22</v>
      </c>
      <c r="B6">
        <v>6</v>
      </c>
      <c r="C6" t="str">
        <f t="shared" si="4"/>
        <v>TRACTOR TRAILER</v>
      </c>
      <c r="D6" t="s">
        <v>8</v>
      </c>
      <c r="E6" t="str">
        <f t="shared" si="5"/>
        <v>RAIL, SHIP</v>
      </c>
      <c r="F6" t="str">
        <f t="shared" si="7"/>
        <v>CENTENNIAL</v>
      </c>
      <c r="G6">
        <f>VLOOKUP(D6,PAYRATES!$A$1:$D$5,3,FALSE)</f>
        <v>85.07</v>
      </c>
      <c r="H6">
        <f t="shared" si="0"/>
        <v>127.61</v>
      </c>
      <c r="I6">
        <f t="shared" si="6"/>
        <v>0.65</v>
      </c>
      <c r="J6">
        <f t="shared" si="1"/>
        <v>128.26</v>
      </c>
      <c r="K6">
        <f t="shared" si="2"/>
        <v>85.72</v>
      </c>
      <c r="L6">
        <v>9</v>
      </c>
      <c r="M6">
        <v>0</v>
      </c>
      <c r="N6" s="2">
        <f t="shared" si="8"/>
        <v>771.48</v>
      </c>
      <c r="O6">
        <v>2024</v>
      </c>
    </row>
    <row r="7" spans="1:15" x14ac:dyDescent="0.55000000000000004">
      <c r="A7" t="s">
        <v>26</v>
      </c>
      <c r="B7">
        <v>6</v>
      </c>
      <c r="C7" t="str">
        <f t="shared" si="4"/>
        <v>TRACTOR TRAILER</v>
      </c>
      <c r="D7" t="s">
        <v>9</v>
      </c>
      <c r="E7" t="str">
        <f t="shared" si="5"/>
        <v>RAIL, SHIP</v>
      </c>
      <c r="F7" t="str">
        <f t="shared" si="7"/>
        <v>CENTENNIAL</v>
      </c>
      <c r="G7">
        <f>VLOOKUP(D7,PAYRATES!$A$1:$D$5,3,FALSE)</f>
        <v>85.07</v>
      </c>
      <c r="H7">
        <f t="shared" si="0"/>
        <v>127.61</v>
      </c>
      <c r="I7">
        <f t="shared" si="6"/>
        <v>0.65</v>
      </c>
      <c r="J7">
        <f t="shared" si="1"/>
        <v>128.26</v>
      </c>
      <c r="K7">
        <f t="shared" si="2"/>
        <v>85.72</v>
      </c>
      <c r="L7">
        <f>L$4</f>
        <v>7.5</v>
      </c>
      <c r="M7">
        <v>0</v>
      </c>
      <c r="N7" s="2">
        <f t="shared" si="8"/>
        <v>642.9</v>
      </c>
      <c r="O7">
        <v>2024</v>
      </c>
    </row>
    <row r="8" spans="1:15" x14ac:dyDescent="0.55000000000000004">
      <c r="A8" t="s">
        <v>23</v>
      </c>
      <c r="B8">
        <v>0</v>
      </c>
      <c r="C8" t="str">
        <f t="shared" si="4"/>
        <v>TRACTOR TRAILER</v>
      </c>
      <c r="D8" t="s">
        <v>7</v>
      </c>
      <c r="E8" t="str">
        <f t="shared" si="5"/>
        <v>RAIL, SHIP</v>
      </c>
      <c r="F8" t="str">
        <f t="shared" ref="F8:F10" si="9">F$2</f>
        <v>CENTENNIAL</v>
      </c>
      <c r="G8">
        <f>VLOOKUP(D8,PAYRATES!$A$1:$D$5,4,FALSE)</f>
        <v>85.07</v>
      </c>
      <c r="H8">
        <f t="shared" si="0"/>
        <v>127.61</v>
      </c>
      <c r="I8">
        <f t="shared" si="6"/>
        <v>0.65</v>
      </c>
      <c r="J8">
        <f t="shared" si="1"/>
        <v>128.26</v>
      </c>
      <c r="K8">
        <f t="shared" si="2"/>
        <v>85.72</v>
      </c>
      <c r="L8">
        <v>9</v>
      </c>
      <c r="M8">
        <v>0</v>
      </c>
      <c r="N8" s="2">
        <f t="shared" ref="N8:N10" si="10">(K8*L8)+(J8*M8)</f>
        <v>771.48</v>
      </c>
      <c r="O8">
        <v>2024</v>
      </c>
    </row>
    <row r="9" spans="1:15" x14ac:dyDescent="0.55000000000000004">
      <c r="A9" t="s">
        <v>24</v>
      </c>
      <c r="B9">
        <v>0</v>
      </c>
      <c r="C9" t="str">
        <f t="shared" si="4"/>
        <v>TRACTOR TRAILER</v>
      </c>
      <c r="D9" t="s">
        <v>8</v>
      </c>
      <c r="E9" t="str">
        <f t="shared" si="5"/>
        <v>RAIL, SHIP</v>
      </c>
      <c r="F9" t="str">
        <f t="shared" si="9"/>
        <v>CENTENNIAL</v>
      </c>
      <c r="G9">
        <f>VLOOKUP(D9,PAYRATES!$A$1:$D$5,4,FALSE)</f>
        <v>85.07</v>
      </c>
      <c r="H9">
        <f t="shared" si="0"/>
        <v>127.61</v>
      </c>
      <c r="I9">
        <f t="shared" si="6"/>
        <v>0.65</v>
      </c>
      <c r="J9">
        <f t="shared" si="1"/>
        <v>128.26</v>
      </c>
      <c r="K9">
        <f t="shared" si="2"/>
        <v>85.72</v>
      </c>
      <c r="L9">
        <v>9</v>
      </c>
      <c r="M9">
        <v>0</v>
      </c>
      <c r="N9" s="2">
        <f t="shared" si="10"/>
        <v>771.48</v>
      </c>
      <c r="O9">
        <v>2024</v>
      </c>
    </row>
    <row r="10" spans="1:15" s="3" customFormat="1" x14ac:dyDescent="0.55000000000000004">
      <c r="A10" s="3" t="s">
        <v>25</v>
      </c>
      <c r="B10" s="3">
        <v>0</v>
      </c>
      <c r="C10" s="3" t="str">
        <f t="shared" si="4"/>
        <v>TRACTOR TRAILER</v>
      </c>
      <c r="D10" s="3" t="s">
        <v>9</v>
      </c>
      <c r="E10" t="str">
        <f t="shared" si="5"/>
        <v>RAIL, SHIP</v>
      </c>
      <c r="F10" s="3" t="str">
        <f t="shared" si="9"/>
        <v>CENTENNIAL</v>
      </c>
      <c r="G10" s="3">
        <f>VLOOKUP(D10,PAYRATES!$A$1:$D$5,4,FALSE)</f>
        <v>85.07</v>
      </c>
      <c r="H10" s="3">
        <f t="shared" si="0"/>
        <v>127.61</v>
      </c>
      <c r="I10">
        <f t="shared" si="6"/>
        <v>0.65</v>
      </c>
      <c r="J10" s="3">
        <f t="shared" si="1"/>
        <v>128.26</v>
      </c>
      <c r="K10" s="3">
        <f t="shared" si="2"/>
        <v>85.72</v>
      </c>
      <c r="L10" s="3">
        <f>L$4</f>
        <v>7.5</v>
      </c>
      <c r="M10" s="3">
        <v>0</v>
      </c>
      <c r="N10" s="4">
        <f t="shared" si="10"/>
        <v>642.9</v>
      </c>
      <c r="O10" s="3">
        <v>2024</v>
      </c>
    </row>
    <row r="11" spans="1:15" x14ac:dyDescent="0.55000000000000004">
      <c r="A11" t="s">
        <v>18</v>
      </c>
      <c r="B11" t="s">
        <v>6</v>
      </c>
      <c r="C11" t="str">
        <f t="shared" si="4"/>
        <v>TRACTOR TRAILER</v>
      </c>
      <c r="D11" t="s">
        <v>7</v>
      </c>
      <c r="E11" s="7" t="s">
        <v>46</v>
      </c>
      <c r="F11" s="7" t="s">
        <v>32</v>
      </c>
      <c r="G11">
        <f>VLOOKUP(D11,PAYRATES!$A$1:$D$5,2,FALSE)</f>
        <v>53.17</v>
      </c>
      <c r="H11">
        <f t="shared" si="0"/>
        <v>79.760000000000005</v>
      </c>
      <c r="I11">
        <f t="shared" si="6"/>
        <v>0.65</v>
      </c>
      <c r="J11">
        <f t="shared" si="1"/>
        <v>80.410000000000011</v>
      </c>
      <c r="K11">
        <f t="shared" si="2"/>
        <v>53.82</v>
      </c>
      <c r="L11">
        <v>8</v>
      </c>
      <c r="M11">
        <v>0</v>
      </c>
      <c r="N11" s="2">
        <f>(K11*L11)+(J11*M11)</f>
        <v>430.56</v>
      </c>
      <c r="O11">
        <v>2024</v>
      </c>
    </row>
    <row r="12" spans="1:15" x14ac:dyDescent="0.55000000000000004">
      <c r="A12" t="s">
        <v>19</v>
      </c>
      <c r="B12" t="s">
        <v>6</v>
      </c>
      <c r="C12" t="str">
        <f t="shared" si="4"/>
        <v>TRACTOR TRAILER</v>
      </c>
      <c r="D12" t="s">
        <v>8</v>
      </c>
      <c r="E12" t="s">
        <v>46</v>
      </c>
      <c r="F12" t="str">
        <f>F$11</f>
        <v>CENTENNIAL, VANTERM</v>
      </c>
      <c r="G12">
        <f>VLOOKUP(D12,PAYRATES!$A$1:$D$5,2,FALSE)</f>
        <v>66.98</v>
      </c>
      <c r="H12">
        <f t="shared" si="0"/>
        <v>100.47</v>
      </c>
      <c r="I12">
        <f t="shared" si="6"/>
        <v>0.65</v>
      </c>
      <c r="J12">
        <f t="shared" si="1"/>
        <v>101.12</v>
      </c>
      <c r="K12">
        <f t="shared" si="2"/>
        <v>67.63000000000001</v>
      </c>
      <c r="L12">
        <v>8</v>
      </c>
      <c r="M12">
        <v>0</v>
      </c>
      <c r="N12" s="2">
        <f t="shared" ref="N12:N19" si="11">(K12*L12)+(J12*M12)</f>
        <v>541.04000000000008</v>
      </c>
      <c r="O12">
        <v>2024</v>
      </c>
    </row>
    <row r="13" spans="1:15" x14ac:dyDescent="0.55000000000000004">
      <c r="A13" t="s">
        <v>20</v>
      </c>
      <c r="B13" t="s">
        <v>6</v>
      </c>
      <c r="C13" t="str">
        <f t="shared" si="4"/>
        <v>TRACTOR TRAILER</v>
      </c>
      <c r="D13" t="s">
        <v>9</v>
      </c>
      <c r="E13" t="s">
        <v>46</v>
      </c>
      <c r="F13" t="str">
        <f t="shared" ref="F13:F19" si="12">F$11</f>
        <v>CENTENNIAL, VANTERM</v>
      </c>
      <c r="G13">
        <f>VLOOKUP(D13,PAYRATES!$A$1:$D$5,2,FALSE)</f>
        <v>82.73</v>
      </c>
      <c r="H13">
        <f t="shared" si="0"/>
        <v>124.1</v>
      </c>
      <c r="I13">
        <f t="shared" si="6"/>
        <v>0.65</v>
      </c>
      <c r="J13">
        <f t="shared" si="1"/>
        <v>124.75</v>
      </c>
      <c r="K13">
        <f t="shared" si="2"/>
        <v>83.38000000000001</v>
      </c>
      <c r="L13">
        <v>6.5</v>
      </c>
      <c r="M13">
        <v>0</v>
      </c>
      <c r="N13" s="2">
        <f t="shared" si="11"/>
        <v>541.97</v>
      </c>
      <c r="O13">
        <v>2024</v>
      </c>
    </row>
    <row r="14" spans="1:15" x14ac:dyDescent="0.55000000000000004">
      <c r="A14" t="s">
        <v>21</v>
      </c>
      <c r="B14">
        <v>6</v>
      </c>
      <c r="C14" t="str">
        <f t="shared" si="4"/>
        <v>TRACTOR TRAILER</v>
      </c>
      <c r="D14" t="s">
        <v>7</v>
      </c>
      <c r="E14" t="s">
        <v>46</v>
      </c>
      <c r="F14" t="str">
        <f t="shared" si="12"/>
        <v>CENTENNIAL, VANTERM</v>
      </c>
      <c r="G14">
        <f>VLOOKUP(D14,PAYRATES!$A$1:$D$5,3,FALSE)</f>
        <v>68.06</v>
      </c>
      <c r="H14">
        <f t="shared" si="0"/>
        <v>102.09</v>
      </c>
      <c r="I14">
        <f t="shared" si="6"/>
        <v>0.65</v>
      </c>
      <c r="J14">
        <f t="shared" si="1"/>
        <v>102.74000000000001</v>
      </c>
      <c r="K14">
        <f t="shared" si="2"/>
        <v>68.710000000000008</v>
      </c>
      <c r="L14">
        <v>8</v>
      </c>
      <c r="M14">
        <v>0</v>
      </c>
      <c r="N14" s="2">
        <f t="shared" si="11"/>
        <v>549.68000000000006</v>
      </c>
      <c r="O14">
        <v>2024</v>
      </c>
    </row>
    <row r="15" spans="1:15" x14ac:dyDescent="0.55000000000000004">
      <c r="A15" t="s">
        <v>22</v>
      </c>
      <c r="B15">
        <v>6</v>
      </c>
      <c r="C15" t="str">
        <f t="shared" si="4"/>
        <v>TRACTOR TRAILER</v>
      </c>
      <c r="D15" t="s">
        <v>8</v>
      </c>
      <c r="E15" t="s">
        <v>46</v>
      </c>
      <c r="F15" t="str">
        <f t="shared" si="12"/>
        <v>CENTENNIAL, VANTERM</v>
      </c>
      <c r="G15">
        <f>VLOOKUP(D15,PAYRATES!$A$1:$D$5,3,FALSE)</f>
        <v>85.07</v>
      </c>
      <c r="H15">
        <f t="shared" si="0"/>
        <v>127.61</v>
      </c>
      <c r="I15">
        <f t="shared" si="6"/>
        <v>0.65</v>
      </c>
      <c r="J15">
        <f t="shared" si="1"/>
        <v>128.26</v>
      </c>
      <c r="K15">
        <f t="shared" si="2"/>
        <v>85.72</v>
      </c>
      <c r="L15">
        <v>8</v>
      </c>
      <c r="M15">
        <v>0</v>
      </c>
      <c r="N15" s="2">
        <f t="shared" si="11"/>
        <v>685.76</v>
      </c>
      <c r="O15">
        <v>2024</v>
      </c>
    </row>
    <row r="16" spans="1:15" x14ac:dyDescent="0.55000000000000004">
      <c r="A16" t="s">
        <v>26</v>
      </c>
      <c r="B16">
        <v>6</v>
      </c>
      <c r="C16" t="str">
        <f t="shared" si="4"/>
        <v>TRACTOR TRAILER</v>
      </c>
      <c r="D16" t="s">
        <v>9</v>
      </c>
      <c r="E16" t="s">
        <v>46</v>
      </c>
      <c r="F16" t="str">
        <f t="shared" si="12"/>
        <v>CENTENNIAL, VANTERM</v>
      </c>
      <c r="G16">
        <f>VLOOKUP(D16,PAYRATES!$A$1:$D$5,3,FALSE)</f>
        <v>85.07</v>
      </c>
      <c r="H16">
        <f t="shared" si="0"/>
        <v>127.61</v>
      </c>
      <c r="I16">
        <f t="shared" si="6"/>
        <v>0.65</v>
      </c>
      <c r="J16">
        <f t="shared" si="1"/>
        <v>128.26</v>
      </c>
      <c r="K16">
        <f t="shared" si="2"/>
        <v>85.72</v>
      </c>
      <c r="L16">
        <v>6.5</v>
      </c>
      <c r="M16">
        <v>0</v>
      </c>
      <c r="N16" s="2">
        <f t="shared" si="11"/>
        <v>557.17999999999995</v>
      </c>
      <c r="O16">
        <v>2024</v>
      </c>
    </row>
    <row r="17" spans="1:15" x14ac:dyDescent="0.55000000000000004">
      <c r="A17" t="s">
        <v>23</v>
      </c>
      <c r="B17">
        <v>0</v>
      </c>
      <c r="C17" t="str">
        <f t="shared" si="4"/>
        <v>TRACTOR TRAILER</v>
      </c>
      <c r="D17" t="s">
        <v>7</v>
      </c>
      <c r="E17" t="s">
        <v>46</v>
      </c>
      <c r="F17" t="str">
        <f t="shared" si="12"/>
        <v>CENTENNIAL, VANTERM</v>
      </c>
      <c r="G17">
        <f>VLOOKUP(D17,PAYRATES!$A$1:$D$5,4,FALSE)</f>
        <v>85.07</v>
      </c>
      <c r="H17">
        <f t="shared" si="0"/>
        <v>127.61</v>
      </c>
      <c r="I17">
        <f t="shared" si="6"/>
        <v>0.65</v>
      </c>
      <c r="J17">
        <f t="shared" si="1"/>
        <v>128.26</v>
      </c>
      <c r="K17">
        <f t="shared" si="2"/>
        <v>85.72</v>
      </c>
      <c r="L17">
        <v>8</v>
      </c>
      <c r="M17">
        <v>0</v>
      </c>
      <c r="N17" s="2">
        <f t="shared" si="11"/>
        <v>685.76</v>
      </c>
      <c r="O17">
        <v>2024</v>
      </c>
    </row>
    <row r="18" spans="1:15" x14ac:dyDescent="0.55000000000000004">
      <c r="A18" t="s">
        <v>24</v>
      </c>
      <c r="B18">
        <v>0</v>
      </c>
      <c r="C18" t="str">
        <f t="shared" si="4"/>
        <v>TRACTOR TRAILER</v>
      </c>
      <c r="D18" t="s">
        <v>8</v>
      </c>
      <c r="E18" t="s">
        <v>46</v>
      </c>
      <c r="F18" t="str">
        <f t="shared" si="12"/>
        <v>CENTENNIAL, VANTERM</v>
      </c>
      <c r="G18">
        <f>VLOOKUP(D18,PAYRATES!$A$1:$D$5,4,FALSE)</f>
        <v>85.07</v>
      </c>
      <c r="H18">
        <f t="shared" si="0"/>
        <v>127.61</v>
      </c>
      <c r="I18">
        <f t="shared" si="6"/>
        <v>0.65</v>
      </c>
      <c r="J18">
        <f t="shared" si="1"/>
        <v>128.26</v>
      </c>
      <c r="K18">
        <f t="shared" si="2"/>
        <v>85.72</v>
      </c>
      <c r="L18">
        <v>8</v>
      </c>
      <c r="M18">
        <v>0</v>
      </c>
      <c r="N18" s="2">
        <f t="shared" si="11"/>
        <v>685.76</v>
      </c>
      <c r="O18">
        <v>2024</v>
      </c>
    </row>
    <row r="19" spans="1:15" s="3" customFormat="1" x14ac:dyDescent="0.55000000000000004">
      <c r="A19" s="3" t="s">
        <v>25</v>
      </c>
      <c r="B19" s="3">
        <v>0</v>
      </c>
      <c r="C19" t="str">
        <f t="shared" si="4"/>
        <v>TRACTOR TRAILER</v>
      </c>
      <c r="D19" s="3" t="s">
        <v>9</v>
      </c>
      <c r="E19" t="s">
        <v>46</v>
      </c>
      <c r="F19" s="3" t="str">
        <f t="shared" si="12"/>
        <v>CENTENNIAL, VANTERM</v>
      </c>
      <c r="G19" s="3">
        <f>VLOOKUP(D19,PAYRATES!$A$1:$D$5,4,FALSE)</f>
        <v>85.07</v>
      </c>
      <c r="H19" s="3">
        <f t="shared" si="0"/>
        <v>127.61</v>
      </c>
      <c r="I19">
        <f t="shared" si="6"/>
        <v>0.65</v>
      </c>
      <c r="J19" s="3">
        <f t="shared" si="1"/>
        <v>128.26</v>
      </c>
      <c r="K19" s="3">
        <f t="shared" si="2"/>
        <v>85.72</v>
      </c>
      <c r="L19" s="3">
        <v>6.5</v>
      </c>
      <c r="M19" s="3">
        <v>0</v>
      </c>
      <c r="N19" s="4">
        <f t="shared" si="11"/>
        <v>557.17999999999995</v>
      </c>
      <c r="O19" s="3">
        <v>2024</v>
      </c>
    </row>
    <row r="20" spans="1:15" x14ac:dyDescent="0.55000000000000004">
      <c r="A20" t="s">
        <v>18</v>
      </c>
      <c r="B20" t="s">
        <v>6</v>
      </c>
      <c r="C20" t="str">
        <f t="shared" si="4"/>
        <v>TRACTOR TRAILER</v>
      </c>
      <c r="D20" t="s">
        <v>7</v>
      </c>
      <c r="E20" s="7" t="s">
        <v>47</v>
      </c>
      <c r="F20" s="7" t="s">
        <v>48</v>
      </c>
      <c r="G20">
        <f>VLOOKUP(D20,PAYRATES!$A$1:$D$5,2,FALSE)</f>
        <v>53.17</v>
      </c>
      <c r="H20">
        <f t="shared" ref="H20:H28" si="13">ROUND(G20*1.5,2)</f>
        <v>79.760000000000005</v>
      </c>
      <c r="I20">
        <f t="shared" si="6"/>
        <v>0.65</v>
      </c>
      <c r="J20">
        <f t="shared" ref="J20:J28" si="14">H20+I20</f>
        <v>80.410000000000011</v>
      </c>
      <c r="K20">
        <f t="shared" ref="K20:K28" si="15">G20+I20</f>
        <v>53.82</v>
      </c>
      <c r="L20" s="6">
        <v>8</v>
      </c>
      <c r="M20">
        <v>0</v>
      </c>
      <c r="N20" s="2">
        <f>(K20*L20)+(J20*M20)</f>
        <v>430.56</v>
      </c>
      <c r="O20">
        <v>2024</v>
      </c>
    </row>
    <row r="21" spans="1:15" x14ac:dyDescent="0.55000000000000004">
      <c r="A21" t="s">
        <v>19</v>
      </c>
      <c r="B21" t="s">
        <v>6</v>
      </c>
      <c r="C21" t="str">
        <f>C$2</f>
        <v>TRACTOR TRAILER</v>
      </c>
      <c r="D21" t="s">
        <v>8</v>
      </c>
      <c r="E21" t="str">
        <f>E$20</f>
        <v>SHIP</v>
      </c>
      <c r="F21" t="str">
        <f>F$20</f>
        <v>VANTERM</v>
      </c>
      <c r="G21">
        <f>VLOOKUP(D21,PAYRATES!$A$1:$D$5,2,FALSE)</f>
        <v>66.98</v>
      </c>
      <c r="H21">
        <f t="shared" si="13"/>
        <v>100.47</v>
      </c>
      <c r="I21">
        <f t="shared" si="6"/>
        <v>0.65</v>
      </c>
      <c r="J21">
        <f t="shared" si="14"/>
        <v>101.12</v>
      </c>
      <c r="K21">
        <f t="shared" si="15"/>
        <v>67.63000000000001</v>
      </c>
      <c r="L21">
        <f>L$20</f>
        <v>8</v>
      </c>
      <c r="M21">
        <v>0</v>
      </c>
      <c r="N21" s="2">
        <f t="shared" ref="N21:N28" si="16">(K21*L21)+(J21*M21)</f>
        <v>541.04000000000008</v>
      </c>
      <c r="O21">
        <v>2024</v>
      </c>
    </row>
    <row r="22" spans="1:15" x14ac:dyDescent="0.55000000000000004">
      <c r="A22" t="s">
        <v>20</v>
      </c>
      <c r="B22" t="s">
        <v>6</v>
      </c>
      <c r="C22" t="str">
        <f t="shared" ref="C22:C28" si="17">C$2</f>
        <v>TRACTOR TRAILER</v>
      </c>
      <c r="D22" t="s">
        <v>9</v>
      </c>
      <c r="E22" t="str">
        <f t="shared" ref="E22:E28" si="18">E$20</f>
        <v>SHIP</v>
      </c>
      <c r="F22" t="str">
        <f t="shared" ref="F22:F28" si="19">F$20</f>
        <v>VANTERM</v>
      </c>
      <c r="G22">
        <f>VLOOKUP(D22,PAYRATES!$A$1:$D$5,2,FALSE)</f>
        <v>82.73</v>
      </c>
      <c r="H22">
        <f t="shared" si="13"/>
        <v>124.1</v>
      </c>
      <c r="I22">
        <f t="shared" si="6"/>
        <v>0.65</v>
      </c>
      <c r="J22">
        <f t="shared" si="14"/>
        <v>124.75</v>
      </c>
      <c r="K22">
        <f t="shared" si="15"/>
        <v>83.38000000000001</v>
      </c>
      <c r="L22" s="6">
        <v>6.5</v>
      </c>
      <c r="M22">
        <v>0</v>
      </c>
      <c r="N22" s="2">
        <f t="shared" si="16"/>
        <v>541.97</v>
      </c>
      <c r="O22">
        <v>2024</v>
      </c>
    </row>
    <row r="23" spans="1:15" x14ac:dyDescent="0.55000000000000004">
      <c r="A23" t="s">
        <v>21</v>
      </c>
      <c r="B23">
        <v>6</v>
      </c>
      <c r="C23" t="str">
        <f t="shared" si="17"/>
        <v>TRACTOR TRAILER</v>
      </c>
      <c r="D23" t="s">
        <v>7</v>
      </c>
      <c r="E23" t="str">
        <f t="shared" si="18"/>
        <v>SHIP</v>
      </c>
      <c r="F23" t="str">
        <f t="shared" si="19"/>
        <v>VANTERM</v>
      </c>
      <c r="G23">
        <f>VLOOKUP(D23,PAYRATES!$A$1:$D$5,3,FALSE)</f>
        <v>68.06</v>
      </c>
      <c r="H23">
        <f t="shared" si="13"/>
        <v>102.09</v>
      </c>
      <c r="I23">
        <f t="shared" si="6"/>
        <v>0.65</v>
      </c>
      <c r="J23">
        <f t="shared" si="14"/>
        <v>102.74000000000001</v>
      </c>
      <c r="K23">
        <f t="shared" si="15"/>
        <v>68.710000000000008</v>
      </c>
      <c r="L23">
        <f t="shared" ref="L23:L24" si="20">L$20</f>
        <v>8</v>
      </c>
      <c r="M23">
        <v>0</v>
      </c>
      <c r="N23" s="2">
        <f t="shared" si="16"/>
        <v>549.68000000000006</v>
      </c>
      <c r="O23">
        <v>2024</v>
      </c>
    </row>
    <row r="24" spans="1:15" x14ac:dyDescent="0.55000000000000004">
      <c r="A24" t="s">
        <v>22</v>
      </c>
      <c r="B24">
        <v>6</v>
      </c>
      <c r="C24" t="str">
        <f t="shared" si="17"/>
        <v>TRACTOR TRAILER</v>
      </c>
      <c r="D24" t="s">
        <v>8</v>
      </c>
      <c r="E24" t="str">
        <f t="shared" si="18"/>
        <v>SHIP</v>
      </c>
      <c r="F24" t="str">
        <f t="shared" si="19"/>
        <v>VANTERM</v>
      </c>
      <c r="G24">
        <f>VLOOKUP(D24,PAYRATES!$A$1:$D$5,3,FALSE)</f>
        <v>85.07</v>
      </c>
      <c r="H24">
        <f t="shared" si="13"/>
        <v>127.61</v>
      </c>
      <c r="I24">
        <f t="shared" si="6"/>
        <v>0.65</v>
      </c>
      <c r="J24">
        <f t="shared" si="14"/>
        <v>128.26</v>
      </c>
      <c r="K24">
        <f t="shared" si="15"/>
        <v>85.72</v>
      </c>
      <c r="L24">
        <f t="shared" si="20"/>
        <v>8</v>
      </c>
      <c r="M24">
        <v>0</v>
      </c>
      <c r="N24" s="2">
        <f t="shared" si="16"/>
        <v>685.76</v>
      </c>
      <c r="O24">
        <v>2024</v>
      </c>
    </row>
    <row r="25" spans="1:15" x14ac:dyDescent="0.55000000000000004">
      <c r="A25" t="s">
        <v>26</v>
      </c>
      <c r="B25">
        <v>6</v>
      </c>
      <c r="C25" t="str">
        <f t="shared" si="17"/>
        <v>TRACTOR TRAILER</v>
      </c>
      <c r="D25" t="s">
        <v>9</v>
      </c>
      <c r="E25" t="str">
        <f t="shared" si="18"/>
        <v>SHIP</v>
      </c>
      <c r="F25" t="str">
        <f t="shared" si="19"/>
        <v>VANTERM</v>
      </c>
      <c r="G25">
        <f>VLOOKUP(D25,PAYRATES!$A$1:$D$5,3,FALSE)</f>
        <v>85.07</v>
      </c>
      <c r="H25">
        <f t="shared" si="13"/>
        <v>127.61</v>
      </c>
      <c r="I25">
        <f t="shared" si="6"/>
        <v>0.65</v>
      </c>
      <c r="J25">
        <f t="shared" si="14"/>
        <v>128.26</v>
      </c>
      <c r="K25">
        <f t="shared" si="15"/>
        <v>85.72</v>
      </c>
      <c r="L25">
        <f>L22</f>
        <v>6.5</v>
      </c>
      <c r="M25">
        <v>0</v>
      </c>
      <c r="N25" s="2">
        <f t="shared" si="16"/>
        <v>557.17999999999995</v>
      </c>
      <c r="O25">
        <v>2024</v>
      </c>
    </row>
    <row r="26" spans="1:15" x14ac:dyDescent="0.55000000000000004">
      <c r="A26" t="s">
        <v>23</v>
      </c>
      <c r="B26">
        <v>0</v>
      </c>
      <c r="C26" t="str">
        <f t="shared" si="17"/>
        <v>TRACTOR TRAILER</v>
      </c>
      <c r="D26" t="s">
        <v>7</v>
      </c>
      <c r="E26" t="str">
        <f t="shared" si="18"/>
        <v>SHIP</v>
      </c>
      <c r="F26" t="str">
        <f t="shared" si="19"/>
        <v>VANTERM</v>
      </c>
      <c r="G26">
        <f>VLOOKUP(D26,PAYRATES!$A$1:$D$5,4,FALSE)</f>
        <v>85.07</v>
      </c>
      <c r="H26">
        <f t="shared" si="13"/>
        <v>127.61</v>
      </c>
      <c r="I26">
        <f t="shared" si="6"/>
        <v>0.65</v>
      </c>
      <c r="J26">
        <f t="shared" si="14"/>
        <v>128.26</v>
      </c>
      <c r="K26">
        <f t="shared" si="15"/>
        <v>85.72</v>
      </c>
      <c r="L26">
        <f>L$20</f>
        <v>8</v>
      </c>
      <c r="M26">
        <v>0</v>
      </c>
      <c r="N26" s="2">
        <f t="shared" si="16"/>
        <v>685.76</v>
      </c>
      <c r="O26">
        <v>2024</v>
      </c>
    </row>
    <row r="27" spans="1:15" x14ac:dyDescent="0.55000000000000004">
      <c r="A27" t="s">
        <v>24</v>
      </c>
      <c r="B27">
        <v>0</v>
      </c>
      <c r="C27" t="str">
        <f t="shared" si="17"/>
        <v>TRACTOR TRAILER</v>
      </c>
      <c r="D27" t="s">
        <v>8</v>
      </c>
      <c r="E27" t="str">
        <f t="shared" si="18"/>
        <v>SHIP</v>
      </c>
      <c r="F27" t="str">
        <f t="shared" si="19"/>
        <v>VANTERM</v>
      </c>
      <c r="G27">
        <f>VLOOKUP(D27,PAYRATES!$A$1:$D$5,4,FALSE)</f>
        <v>85.07</v>
      </c>
      <c r="H27">
        <f t="shared" si="13"/>
        <v>127.61</v>
      </c>
      <c r="I27">
        <f t="shared" si="6"/>
        <v>0.65</v>
      </c>
      <c r="J27">
        <f t="shared" si="14"/>
        <v>128.26</v>
      </c>
      <c r="K27">
        <f t="shared" si="15"/>
        <v>85.72</v>
      </c>
      <c r="L27">
        <f>L$20</f>
        <v>8</v>
      </c>
      <c r="M27">
        <v>0</v>
      </c>
      <c r="N27" s="2">
        <f t="shared" si="16"/>
        <v>685.76</v>
      </c>
      <c r="O27">
        <v>2024</v>
      </c>
    </row>
    <row r="28" spans="1:15" s="3" customFormat="1" x14ac:dyDescent="0.55000000000000004">
      <c r="A28" s="3" t="s">
        <v>25</v>
      </c>
      <c r="B28" s="3">
        <v>0</v>
      </c>
      <c r="C28" s="3" t="str">
        <f t="shared" si="17"/>
        <v>TRACTOR TRAILER</v>
      </c>
      <c r="D28" s="3" t="s">
        <v>9</v>
      </c>
      <c r="E28" t="str">
        <f t="shared" si="18"/>
        <v>SHIP</v>
      </c>
      <c r="F28" t="str">
        <f t="shared" si="19"/>
        <v>VANTERM</v>
      </c>
      <c r="G28" s="3">
        <f>VLOOKUP(D28,PAYRATES!$A$1:$D$5,4,FALSE)</f>
        <v>85.07</v>
      </c>
      <c r="H28" s="3">
        <f t="shared" si="13"/>
        <v>127.61</v>
      </c>
      <c r="I28">
        <f t="shared" si="6"/>
        <v>0.65</v>
      </c>
      <c r="J28" s="3">
        <f t="shared" si="14"/>
        <v>128.26</v>
      </c>
      <c r="K28" s="3">
        <f t="shared" si="15"/>
        <v>85.72</v>
      </c>
      <c r="L28" s="3">
        <f>L22</f>
        <v>6.5</v>
      </c>
      <c r="M28" s="3">
        <v>0</v>
      </c>
      <c r="N28" s="4">
        <f t="shared" si="16"/>
        <v>557.17999999999995</v>
      </c>
      <c r="O28" s="3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08C7-0770-48B8-BAD3-B7D3FB3B5B12}">
  <dimension ref="A1:Q84"/>
  <sheetViews>
    <sheetView workbookViewId="0">
      <selection activeCell="C31" sqref="C31"/>
    </sheetView>
  </sheetViews>
  <sheetFormatPr defaultRowHeight="14.4" x14ac:dyDescent="0.55000000000000004"/>
  <cols>
    <col min="1" max="1" width="10.68359375" bestFit="1" customWidth="1"/>
    <col min="2" max="2" width="10.89453125" bestFit="1" customWidth="1"/>
    <col min="3" max="3" width="24.47265625" customWidth="1"/>
    <col min="4" max="4" width="38.3671875" customWidth="1"/>
    <col min="5" max="5" width="10.47265625" bestFit="1" customWidth="1"/>
    <col min="6" max="6" width="44.05078125" bestFit="1" customWidth="1"/>
    <col min="7" max="7" width="7.20703125" bestFit="1" customWidth="1"/>
    <col min="8" max="8" width="6.68359375" bestFit="1" customWidth="1"/>
    <col min="9" max="9" width="12.05078125" bestFit="1" customWidth="1"/>
    <col min="10" max="10" width="6.89453125" bestFit="1" customWidth="1"/>
    <col min="11" max="11" width="8.1015625" bestFit="1" customWidth="1"/>
    <col min="12" max="12" width="7.47265625" bestFit="1" customWidth="1"/>
    <col min="13" max="13" width="6.26171875" bestFit="1" customWidth="1"/>
    <col min="14" max="14" width="7.3671875" bestFit="1" customWidth="1"/>
    <col min="15" max="15" width="4.83984375" bestFit="1" customWidth="1"/>
    <col min="16" max="17" width="13.7890625" bestFit="1" customWidth="1"/>
  </cols>
  <sheetData>
    <row r="1" spans="1:17" x14ac:dyDescent="0.55000000000000004">
      <c r="B1" s="5" t="s">
        <v>0</v>
      </c>
      <c r="C1" s="5" t="s">
        <v>30</v>
      </c>
      <c r="D1" s="5" t="s">
        <v>39</v>
      </c>
      <c r="E1" s="5" t="s">
        <v>14</v>
      </c>
      <c r="F1" s="5" t="s">
        <v>1</v>
      </c>
      <c r="G1" s="5" t="s">
        <v>17</v>
      </c>
      <c r="H1" s="5" t="s">
        <v>16</v>
      </c>
      <c r="I1" s="5" t="s">
        <v>15</v>
      </c>
      <c r="J1" s="5" t="s">
        <v>3</v>
      </c>
      <c r="K1" s="5" t="s">
        <v>5</v>
      </c>
      <c r="L1" s="5" t="s">
        <v>4</v>
      </c>
      <c r="M1" s="5" t="s">
        <v>2</v>
      </c>
      <c r="N1" s="5" t="s">
        <v>27</v>
      </c>
      <c r="O1" s="5" t="s">
        <v>28</v>
      </c>
      <c r="P1" t="s">
        <v>52</v>
      </c>
      <c r="Q1" t="s">
        <v>53</v>
      </c>
    </row>
    <row r="2" spans="1:17" x14ac:dyDescent="0.55000000000000004">
      <c r="A2" t="s">
        <v>18</v>
      </c>
      <c r="B2" t="s">
        <v>6</v>
      </c>
      <c r="C2" t="s">
        <v>54</v>
      </c>
      <c r="E2" t="s">
        <v>7</v>
      </c>
      <c r="F2" t="s">
        <v>35</v>
      </c>
      <c r="G2">
        <f>VLOOKUP(E2,PAYRATES!$A$1:$D$5,2,FALSE)</f>
        <v>53.17</v>
      </c>
      <c r="H2">
        <f>ROUND(G2*1.5,2)</f>
        <v>79.760000000000005</v>
      </c>
      <c r="I2" s="1">
        <v>0</v>
      </c>
      <c r="J2">
        <f>H2+I2</f>
        <v>79.760000000000005</v>
      </c>
      <c r="K2">
        <f>G2+I2</f>
        <v>53.17</v>
      </c>
      <c r="L2" s="1">
        <v>8</v>
      </c>
      <c r="M2" s="1">
        <v>0</v>
      </c>
      <c r="N2" s="2">
        <f>(K2*L2)+(J2*M2)</f>
        <v>425.36</v>
      </c>
      <c r="O2">
        <v>2024</v>
      </c>
      <c r="P2" s="8">
        <v>46113</v>
      </c>
      <c r="Q2" s="8">
        <v>45748</v>
      </c>
    </row>
    <row r="3" spans="1:17" x14ac:dyDescent="0.55000000000000004">
      <c r="A3" t="s">
        <v>19</v>
      </c>
      <c r="B3" t="s">
        <v>6</v>
      </c>
      <c r="C3" t="str">
        <f>C$2</f>
        <v>HEAD CHECKER</v>
      </c>
      <c r="E3" t="s">
        <v>8</v>
      </c>
      <c r="F3" t="str">
        <f>F$2</f>
        <v>CENTENNIAL, VANTERM, DELTAPORT, FRASER SURREY</v>
      </c>
      <c r="G3">
        <f>VLOOKUP(E3,PAYRATES!$A$1:$D$5,2,FALSE)</f>
        <v>66.98</v>
      </c>
      <c r="H3">
        <f>ROUND(G3*1.5,2)</f>
        <v>100.47</v>
      </c>
      <c r="I3">
        <f>I$2</f>
        <v>0</v>
      </c>
      <c r="J3">
        <f>H3+I3</f>
        <v>100.47</v>
      </c>
      <c r="K3">
        <f>G3+I3</f>
        <v>66.98</v>
      </c>
      <c r="L3">
        <f>L$2</f>
        <v>8</v>
      </c>
      <c r="M3">
        <v>0</v>
      </c>
      <c r="N3" s="2">
        <f t="shared" ref="N3:N4" si="0">(K3*L3)+(J3*M3)</f>
        <v>535.84</v>
      </c>
      <c r="O3">
        <v>2024</v>
      </c>
      <c r="P3" s="8">
        <v>46113</v>
      </c>
      <c r="Q3" s="8">
        <v>45748</v>
      </c>
    </row>
    <row r="4" spans="1:17" x14ac:dyDescent="0.55000000000000004">
      <c r="A4" t="s">
        <v>20</v>
      </c>
      <c r="B4" t="s">
        <v>6</v>
      </c>
      <c r="C4" t="str">
        <f>C$2</f>
        <v>HEAD CHECKER</v>
      </c>
      <c r="E4" t="s">
        <v>9</v>
      </c>
      <c r="F4" t="str">
        <f>F$2</f>
        <v>CENTENNIAL, VANTERM, DELTAPORT, FRASER SURREY</v>
      </c>
      <c r="G4">
        <f>VLOOKUP(E4,PAYRATES!$A$1:$D$5,2,FALSE)</f>
        <v>82.73</v>
      </c>
      <c r="H4">
        <f>ROUND(G4*1.5,2)</f>
        <v>124.1</v>
      </c>
      <c r="I4">
        <f>I$2</f>
        <v>0</v>
      </c>
      <c r="J4">
        <f>H4+I4</f>
        <v>124.1</v>
      </c>
      <c r="K4">
        <f>G4+I4</f>
        <v>82.73</v>
      </c>
      <c r="L4">
        <v>6.5</v>
      </c>
      <c r="M4">
        <v>0</v>
      </c>
      <c r="N4" s="2">
        <f t="shared" si="0"/>
        <v>537.745</v>
      </c>
      <c r="O4">
        <v>2024</v>
      </c>
      <c r="P4" s="8">
        <v>46113</v>
      </c>
      <c r="Q4" s="8">
        <v>45748</v>
      </c>
    </row>
    <row r="5" spans="1:17" x14ac:dyDescent="0.55000000000000004">
      <c r="N5" s="2"/>
      <c r="P5" s="8">
        <v>46113</v>
      </c>
      <c r="Q5" s="8">
        <v>45748</v>
      </c>
    </row>
    <row r="6" spans="1:17" x14ac:dyDescent="0.55000000000000004">
      <c r="A6" t="s">
        <v>21</v>
      </c>
      <c r="B6">
        <v>6</v>
      </c>
      <c r="C6" t="str">
        <f t="shared" ref="C6:C8" si="1">C$2</f>
        <v>HEAD CHECKER</v>
      </c>
      <c r="E6" t="s">
        <v>7</v>
      </c>
      <c r="F6" t="str">
        <f t="shared" ref="F6:F8" si="2">F$2</f>
        <v>CENTENNIAL, VANTERM, DELTAPORT, FRASER SURREY</v>
      </c>
      <c r="G6">
        <f>VLOOKUP(E6,PAYRATES!$A$1:$D$5,3,FALSE)</f>
        <v>68.06</v>
      </c>
      <c r="H6">
        <f>ROUND(G6*1.5,2)</f>
        <v>102.09</v>
      </c>
      <c r="I6">
        <f t="shared" ref="I6:I8" si="3">I$2</f>
        <v>0</v>
      </c>
      <c r="J6">
        <f>H6+I6</f>
        <v>102.09</v>
      </c>
      <c r="K6">
        <f>G6+I6</f>
        <v>68.06</v>
      </c>
      <c r="L6">
        <f t="shared" ref="L6:L7" si="4">L$2</f>
        <v>8</v>
      </c>
      <c r="M6">
        <v>0</v>
      </c>
      <c r="N6" s="2">
        <f t="shared" ref="N6:N8" si="5">(K6*L6)+(J6*M6)</f>
        <v>544.48</v>
      </c>
      <c r="O6">
        <v>2024</v>
      </c>
      <c r="P6" s="8">
        <v>46113</v>
      </c>
      <c r="Q6" s="8">
        <v>45748</v>
      </c>
    </row>
    <row r="7" spans="1:17" x14ac:dyDescent="0.55000000000000004">
      <c r="A7" t="s">
        <v>22</v>
      </c>
      <c r="B7">
        <v>6</v>
      </c>
      <c r="C7" t="str">
        <f t="shared" si="1"/>
        <v>HEAD CHECKER</v>
      </c>
      <c r="E7" t="s">
        <v>8</v>
      </c>
      <c r="F7" t="str">
        <f t="shared" si="2"/>
        <v>CENTENNIAL, VANTERM, DELTAPORT, FRASER SURREY</v>
      </c>
      <c r="G7">
        <f>VLOOKUP(E7,PAYRATES!$A$1:$D$5,3,FALSE)</f>
        <v>85.07</v>
      </c>
      <c r="H7">
        <f>ROUND(G7*1.5,2)</f>
        <v>127.61</v>
      </c>
      <c r="I7">
        <f t="shared" si="3"/>
        <v>0</v>
      </c>
      <c r="J7">
        <f>H7+I7</f>
        <v>127.61</v>
      </c>
      <c r="K7">
        <f>G7+I7</f>
        <v>85.07</v>
      </c>
      <c r="L7">
        <f t="shared" si="4"/>
        <v>8</v>
      </c>
      <c r="M7">
        <v>0</v>
      </c>
      <c r="N7" s="2">
        <f t="shared" si="5"/>
        <v>680.56</v>
      </c>
      <c r="O7">
        <v>2024</v>
      </c>
      <c r="P7" s="8">
        <v>46113</v>
      </c>
      <c r="Q7" s="8">
        <v>45748</v>
      </c>
    </row>
    <row r="8" spans="1:17" x14ac:dyDescent="0.55000000000000004">
      <c r="A8" t="s">
        <v>26</v>
      </c>
      <c r="B8">
        <v>6</v>
      </c>
      <c r="C8" t="str">
        <f t="shared" si="1"/>
        <v>HEAD CHECKER</v>
      </c>
      <c r="E8" t="s">
        <v>9</v>
      </c>
      <c r="F8" t="str">
        <f t="shared" si="2"/>
        <v>CENTENNIAL, VANTERM, DELTAPORT, FRASER SURREY</v>
      </c>
      <c r="G8">
        <f>VLOOKUP(E8,PAYRATES!$A$1:$D$5,3,FALSE)</f>
        <v>85.07</v>
      </c>
      <c r="H8">
        <f>ROUND(G8*1.5,2)</f>
        <v>127.61</v>
      </c>
      <c r="I8">
        <f t="shared" si="3"/>
        <v>0</v>
      </c>
      <c r="J8">
        <f>H8+I8</f>
        <v>127.61</v>
      </c>
      <c r="K8">
        <f>G8+I8</f>
        <v>85.07</v>
      </c>
      <c r="L8">
        <v>6.5</v>
      </c>
      <c r="M8">
        <v>0</v>
      </c>
      <c r="N8" s="2">
        <f t="shared" si="5"/>
        <v>552.95499999999993</v>
      </c>
      <c r="O8">
        <v>2024</v>
      </c>
      <c r="P8" s="8">
        <v>46113</v>
      </c>
      <c r="Q8" s="8">
        <v>45748</v>
      </c>
    </row>
    <row r="9" spans="1:17" x14ac:dyDescent="0.55000000000000004">
      <c r="N9" s="2"/>
      <c r="P9" s="8">
        <v>46113</v>
      </c>
      <c r="Q9" s="8">
        <v>45748</v>
      </c>
    </row>
    <row r="10" spans="1:17" x14ac:dyDescent="0.55000000000000004">
      <c r="A10" t="s">
        <v>23</v>
      </c>
      <c r="B10">
        <v>0</v>
      </c>
      <c r="C10" t="str">
        <f t="shared" ref="C10:C12" si="6">C$2</f>
        <v>HEAD CHECKER</v>
      </c>
      <c r="E10" t="s">
        <v>7</v>
      </c>
      <c r="F10" t="str">
        <f t="shared" ref="F10:F12" si="7">F$2</f>
        <v>CENTENNIAL, VANTERM, DELTAPORT, FRASER SURREY</v>
      </c>
      <c r="G10">
        <f>VLOOKUP(E10,PAYRATES!$A$1:$D$5,4,FALSE)</f>
        <v>85.07</v>
      </c>
      <c r="H10">
        <f>ROUND(G10*1.5,2)</f>
        <v>127.61</v>
      </c>
      <c r="I10">
        <f t="shared" ref="I10:I12" si="8">I$2</f>
        <v>0</v>
      </c>
      <c r="J10">
        <f>H10+I10</f>
        <v>127.61</v>
      </c>
      <c r="K10">
        <f>G10+I10</f>
        <v>85.07</v>
      </c>
      <c r="L10">
        <f t="shared" ref="L10:L11" si="9">L$2</f>
        <v>8</v>
      </c>
      <c r="M10">
        <v>0</v>
      </c>
      <c r="N10" s="2">
        <f t="shared" ref="N10:N12" si="10">(K10*L10)+(J10*M10)</f>
        <v>680.56</v>
      </c>
      <c r="O10">
        <v>2024</v>
      </c>
      <c r="P10" s="8">
        <v>46113</v>
      </c>
      <c r="Q10" s="8">
        <v>45748</v>
      </c>
    </row>
    <row r="11" spans="1:17" x14ac:dyDescent="0.55000000000000004">
      <c r="A11" t="s">
        <v>24</v>
      </c>
      <c r="B11">
        <v>0</v>
      </c>
      <c r="C11" t="str">
        <f t="shared" si="6"/>
        <v>HEAD CHECKER</v>
      </c>
      <c r="E11" t="s">
        <v>8</v>
      </c>
      <c r="F11" t="str">
        <f t="shared" si="7"/>
        <v>CENTENNIAL, VANTERM, DELTAPORT, FRASER SURREY</v>
      </c>
      <c r="G11">
        <f>VLOOKUP(E11,PAYRATES!$A$1:$D$5,4,FALSE)</f>
        <v>85.07</v>
      </c>
      <c r="H11">
        <f>ROUND(G11*1.5,2)</f>
        <v>127.61</v>
      </c>
      <c r="I11">
        <f t="shared" si="8"/>
        <v>0</v>
      </c>
      <c r="J11">
        <f>H11+I11</f>
        <v>127.61</v>
      </c>
      <c r="K11">
        <f>G11+I11</f>
        <v>85.07</v>
      </c>
      <c r="L11">
        <f t="shared" si="9"/>
        <v>8</v>
      </c>
      <c r="M11">
        <v>0</v>
      </c>
      <c r="N11" s="2">
        <f t="shared" si="10"/>
        <v>680.56</v>
      </c>
      <c r="O11">
        <v>2024</v>
      </c>
      <c r="P11" s="8">
        <v>46113</v>
      </c>
      <c r="Q11" s="8">
        <v>45748</v>
      </c>
    </row>
    <row r="12" spans="1:17" x14ac:dyDescent="0.55000000000000004">
      <c r="A12" t="s">
        <v>25</v>
      </c>
      <c r="B12">
        <v>0</v>
      </c>
      <c r="C12" t="str">
        <f t="shared" si="6"/>
        <v>HEAD CHECKER</v>
      </c>
      <c r="E12" t="s">
        <v>9</v>
      </c>
      <c r="F12" t="str">
        <f t="shared" si="7"/>
        <v>CENTENNIAL, VANTERM, DELTAPORT, FRASER SURREY</v>
      </c>
      <c r="G12">
        <f>VLOOKUP(E12,PAYRATES!$A$1:$D$5,4,FALSE)</f>
        <v>85.07</v>
      </c>
      <c r="H12">
        <f>ROUND(G12*1.5,2)</f>
        <v>127.61</v>
      </c>
      <c r="I12">
        <f t="shared" si="8"/>
        <v>0</v>
      </c>
      <c r="J12">
        <f>H12+I12</f>
        <v>127.61</v>
      </c>
      <c r="K12">
        <f>G12+I12</f>
        <v>85.07</v>
      </c>
      <c r="L12">
        <v>6.5</v>
      </c>
      <c r="M12">
        <v>0</v>
      </c>
      <c r="N12" s="2">
        <f t="shared" si="10"/>
        <v>552.95499999999993</v>
      </c>
      <c r="O12">
        <v>2024</v>
      </c>
      <c r="P12" s="8">
        <v>46113</v>
      </c>
      <c r="Q12" s="8">
        <v>45748</v>
      </c>
    </row>
    <row r="18" spans="2:3" ht="16.5" x14ac:dyDescent="0.55000000000000004">
      <c r="B18" s="9"/>
    </row>
    <row r="19" spans="2:3" x14ac:dyDescent="0.55000000000000004">
      <c r="B19" s="10"/>
    </row>
    <row r="20" spans="2:3" x14ac:dyDescent="0.55000000000000004">
      <c r="B20" s="11"/>
      <c r="C20" s="11"/>
    </row>
    <row r="21" spans="2:3" x14ac:dyDescent="0.55000000000000004">
      <c r="B21" s="12"/>
      <c r="C21" s="12"/>
    </row>
    <row r="22" spans="2:3" x14ac:dyDescent="0.55000000000000004">
      <c r="B22" s="12"/>
    </row>
    <row r="23" spans="2:3" x14ac:dyDescent="0.55000000000000004">
      <c r="B23" s="12"/>
    </row>
    <row r="24" spans="2:3" x14ac:dyDescent="0.55000000000000004">
      <c r="B24" s="12"/>
    </row>
    <row r="25" spans="2:3" x14ac:dyDescent="0.55000000000000004">
      <c r="B25" s="12"/>
    </row>
    <row r="26" spans="2:3" x14ac:dyDescent="0.55000000000000004">
      <c r="B26" s="12"/>
    </row>
    <row r="27" spans="2:3" x14ac:dyDescent="0.55000000000000004">
      <c r="B27" s="12"/>
    </row>
    <row r="28" spans="2:3" x14ac:dyDescent="0.55000000000000004">
      <c r="B28" s="12"/>
    </row>
    <row r="29" spans="2:3" x14ac:dyDescent="0.55000000000000004">
      <c r="B29" s="11"/>
    </row>
    <row r="30" spans="2:3" x14ac:dyDescent="0.55000000000000004">
      <c r="B30" s="12"/>
    </row>
    <row r="31" spans="2:3" x14ac:dyDescent="0.55000000000000004">
      <c r="B31" s="12"/>
    </row>
    <row r="32" spans="2:3" x14ac:dyDescent="0.55000000000000004">
      <c r="B32" s="12"/>
    </row>
    <row r="33" spans="2:2" x14ac:dyDescent="0.55000000000000004">
      <c r="B33" s="12"/>
    </row>
    <row r="34" spans="2:2" x14ac:dyDescent="0.55000000000000004">
      <c r="B34" s="12"/>
    </row>
    <row r="35" spans="2:2" x14ac:dyDescent="0.55000000000000004">
      <c r="B35" s="12"/>
    </row>
    <row r="36" spans="2:2" x14ac:dyDescent="0.55000000000000004">
      <c r="B36" s="12"/>
    </row>
    <row r="37" spans="2:2" x14ac:dyDescent="0.55000000000000004">
      <c r="B37" s="12"/>
    </row>
    <row r="38" spans="2:2" x14ac:dyDescent="0.55000000000000004">
      <c r="B38" s="12"/>
    </row>
    <row r="39" spans="2:2" x14ac:dyDescent="0.55000000000000004">
      <c r="B39" s="12"/>
    </row>
    <row r="40" spans="2:2" x14ac:dyDescent="0.55000000000000004">
      <c r="B40" s="12"/>
    </row>
    <row r="41" spans="2:2" x14ac:dyDescent="0.55000000000000004">
      <c r="B41" s="10"/>
    </row>
    <row r="42" spans="2:2" x14ac:dyDescent="0.55000000000000004">
      <c r="B42" s="11"/>
    </row>
    <row r="43" spans="2:2" x14ac:dyDescent="0.55000000000000004">
      <c r="B43" s="12"/>
    </row>
    <row r="44" spans="2:2" x14ac:dyDescent="0.55000000000000004">
      <c r="B44" s="12"/>
    </row>
    <row r="45" spans="2:2" x14ac:dyDescent="0.55000000000000004">
      <c r="B45" s="12"/>
    </row>
    <row r="46" spans="2:2" x14ac:dyDescent="0.55000000000000004">
      <c r="B46" s="12"/>
    </row>
    <row r="47" spans="2:2" x14ac:dyDescent="0.55000000000000004">
      <c r="B47" s="12"/>
    </row>
    <row r="48" spans="2:2" x14ac:dyDescent="0.55000000000000004">
      <c r="B48" s="12"/>
    </row>
    <row r="49" spans="2:2" x14ac:dyDescent="0.55000000000000004">
      <c r="B49" s="12"/>
    </row>
    <row r="50" spans="2:2" x14ac:dyDescent="0.55000000000000004">
      <c r="B50" s="12"/>
    </row>
    <row r="51" spans="2:2" x14ac:dyDescent="0.55000000000000004">
      <c r="B51" s="11"/>
    </row>
    <row r="52" spans="2:2" x14ac:dyDescent="0.55000000000000004">
      <c r="B52" s="12"/>
    </row>
    <row r="53" spans="2:2" x14ac:dyDescent="0.55000000000000004">
      <c r="B53" s="12"/>
    </row>
    <row r="54" spans="2:2" x14ac:dyDescent="0.55000000000000004">
      <c r="B54" s="12"/>
    </row>
    <row r="55" spans="2:2" x14ac:dyDescent="0.55000000000000004">
      <c r="B55" s="12"/>
    </row>
    <row r="56" spans="2:2" x14ac:dyDescent="0.55000000000000004">
      <c r="B56" s="12"/>
    </row>
    <row r="57" spans="2:2" x14ac:dyDescent="0.55000000000000004">
      <c r="B57" s="12"/>
    </row>
    <row r="58" spans="2:2" x14ac:dyDescent="0.55000000000000004">
      <c r="B58" s="12"/>
    </row>
    <row r="59" spans="2:2" x14ac:dyDescent="0.55000000000000004">
      <c r="B59" s="12"/>
    </row>
    <row r="60" spans="2:2" x14ac:dyDescent="0.55000000000000004">
      <c r="B60" s="12"/>
    </row>
    <row r="61" spans="2:2" x14ac:dyDescent="0.55000000000000004">
      <c r="B61" s="12"/>
    </row>
    <row r="62" spans="2:2" x14ac:dyDescent="0.55000000000000004">
      <c r="B62" s="10"/>
    </row>
    <row r="63" spans="2:2" x14ac:dyDescent="0.55000000000000004">
      <c r="B63" s="11"/>
    </row>
    <row r="64" spans="2:2" x14ac:dyDescent="0.55000000000000004">
      <c r="B64" s="12"/>
    </row>
    <row r="65" spans="2:2" x14ac:dyDescent="0.55000000000000004">
      <c r="B65" s="12"/>
    </row>
    <row r="66" spans="2:2" x14ac:dyDescent="0.55000000000000004">
      <c r="B66" s="12"/>
    </row>
    <row r="67" spans="2:2" x14ac:dyDescent="0.55000000000000004">
      <c r="B67" s="12"/>
    </row>
    <row r="68" spans="2:2" x14ac:dyDescent="0.55000000000000004">
      <c r="B68" s="12"/>
    </row>
    <row r="69" spans="2:2" x14ac:dyDescent="0.55000000000000004">
      <c r="B69" s="11"/>
    </row>
    <row r="70" spans="2:2" x14ac:dyDescent="0.55000000000000004">
      <c r="B70" s="12"/>
    </row>
    <row r="71" spans="2:2" x14ac:dyDescent="0.55000000000000004">
      <c r="B71" s="12"/>
    </row>
    <row r="72" spans="2:2" x14ac:dyDescent="0.55000000000000004">
      <c r="B72" s="12"/>
    </row>
    <row r="73" spans="2:2" x14ac:dyDescent="0.55000000000000004">
      <c r="B73" s="12"/>
    </row>
    <row r="74" spans="2:2" x14ac:dyDescent="0.55000000000000004">
      <c r="B74" s="12"/>
    </row>
    <row r="75" spans="2:2" x14ac:dyDescent="0.55000000000000004">
      <c r="B75" s="12"/>
    </row>
    <row r="76" spans="2:2" x14ac:dyDescent="0.55000000000000004">
      <c r="B76" s="12"/>
    </row>
    <row r="77" spans="2:2" x14ac:dyDescent="0.55000000000000004">
      <c r="B77" s="12"/>
    </row>
    <row r="78" spans="2:2" x14ac:dyDescent="0.55000000000000004">
      <c r="B78" s="12"/>
    </row>
    <row r="79" spans="2:2" x14ac:dyDescent="0.55000000000000004">
      <c r="B79" s="12"/>
    </row>
    <row r="80" spans="2:2" x14ac:dyDescent="0.55000000000000004">
      <c r="B80" s="12"/>
    </row>
    <row r="81" spans="2:2" x14ac:dyDescent="0.55000000000000004">
      <c r="B81" s="12"/>
    </row>
    <row r="82" spans="2:2" x14ac:dyDescent="0.55000000000000004">
      <c r="B82" s="12"/>
    </row>
    <row r="83" spans="2:2" x14ac:dyDescent="0.55000000000000004">
      <c r="B83" s="12"/>
    </row>
    <row r="84" spans="2:2" x14ac:dyDescent="0.55000000000000004">
      <c r="B84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E22E-7489-44BF-A8FE-FCAF86F3C426}">
  <dimension ref="A3:G38"/>
  <sheetViews>
    <sheetView tabSelected="1" workbookViewId="0">
      <selection activeCell="E19" sqref="E19"/>
    </sheetView>
  </sheetViews>
  <sheetFormatPr defaultRowHeight="14.4" x14ac:dyDescent="0.55000000000000004"/>
  <cols>
    <col min="1" max="1" width="17.20703125" bestFit="1" customWidth="1"/>
    <col min="2" max="2" width="17.20703125" customWidth="1"/>
    <col min="3" max="3" width="10.47265625" bestFit="1" customWidth="1"/>
    <col min="4" max="4" width="15.20703125" customWidth="1"/>
    <col min="5" max="5" width="54.7890625" bestFit="1" customWidth="1"/>
  </cols>
  <sheetData>
    <row r="3" spans="1:7" x14ac:dyDescent="0.55000000000000004">
      <c r="A3" s="1" t="s">
        <v>57</v>
      </c>
      <c r="B3" s="1" t="s">
        <v>0</v>
      </c>
      <c r="C3" s="1" t="s">
        <v>14</v>
      </c>
      <c r="D3" s="1" t="s">
        <v>1</v>
      </c>
      <c r="E3" s="1" t="s">
        <v>39</v>
      </c>
      <c r="F3" s="1" t="s">
        <v>55</v>
      </c>
      <c r="G3" s="1" t="s">
        <v>56</v>
      </c>
    </row>
    <row r="4" spans="1:7" x14ac:dyDescent="0.55000000000000004">
      <c r="A4" t="s">
        <v>58</v>
      </c>
      <c r="B4" t="s">
        <v>61</v>
      </c>
      <c r="C4" t="s">
        <v>7</v>
      </c>
      <c r="D4" t="s">
        <v>48</v>
      </c>
      <c r="E4" t="s">
        <v>59</v>
      </c>
      <c r="F4">
        <v>8</v>
      </c>
      <c r="G4">
        <v>2</v>
      </c>
    </row>
    <row r="5" spans="1:7" x14ac:dyDescent="0.55000000000000004">
      <c r="A5" t="s">
        <v>58</v>
      </c>
      <c r="B5" t="s">
        <v>61</v>
      </c>
      <c r="C5" t="s">
        <v>7</v>
      </c>
      <c r="D5" t="s">
        <v>48</v>
      </c>
      <c r="E5" t="s">
        <v>60</v>
      </c>
      <c r="F5">
        <v>8</v>
      </c>
      <c r="G5">
        <v>1</v>
      </c>
    </row>
    <row r="7" spans="1:7" x14ac:dyDescent="0.55000000000000004">
      <c r="A7" t="s">
        <v>58</v>
      </c>
      <c r="B7" t="s">
        <v>61</v>
      </c>
      <c r="C7" t="s">
        <v>8</v>
      </c>
      <c r="D7" t="s">
        <v>48</v>
      </c>
      <c r="E7" t="s">
        <v>62</v>
      </c>
      <c r="F7">
        <v>8</v>
      </c>
      <c r="G7">
        <v>1.5</v>
      </c>
    </row>
    <row r="8" spans="1:7" x14ac:dyDescent="0.55000000000000004">
      <c r="A8" t="s">
        <v>58</v>
      </c>
      <c r="B8" t="s">
        <v>61</v>
      </c>
      <c r="C8" t="s">
        <v>8</v>
      </c>
      <c r="D8" t="s">
        <v>48</v>
      </c>
      <c r="E8" t="s">
        <v>64</v>
      </c>
      <c r="F8">
        <v>8</v>
      </c>
      <c r="G8">
        <v>2</v>
      </c>
    </row>
    <row r="9" spans="1:7" x14ac:dyDescent="0.55000000000000004">
      <c r="A9" t="s">
        <v>58</v>
      </c>
      <c r="B9" t="s">
        <v>61</v>
      </c>
      <c r="C9" t="s">
        <v>8</v>
      </c>
      <c r="D9" t="s">
        <v>48</v>
      </c>
      <c r="E9" t="s">
        <v>63</v>
      </c>
      <c r="F9">
        <v>8</v>
      </c>
      <c r="G9">
        <v>1</v>
      </c>
    </row>
    <row r="10" spans="1:7" x14ac:dyDescent="0.55000000000000004">
      <c r="A10" t="s">
        <v>58</v>
      </c>
      <c r="B10" t="s">
        <v>61</v>
      </c>
      <c r="C10" t="s">
        <v>8</v>
      </c>
      <c r="D10" t="s">
        <v>48</v>
      </c>
      <c r="E10" t="s">
        <v>60</v>
      </c>
      <c r="F10">
        <v>8</v>
      </c>
      <c r="G10">
        <v>0.5</v>
      </c>
    </row>
    <row r="12" spans="1:7" x14ac:dyDescent="0.55000000000000004">
      <c r="A12" t="s">
        <v>58</v>
      </c>
      <c r="B12" t="s">
        <v>76</v>
      </c>
      <c r="C12" t="s">
        <v>9</v>
      </c>
      <c r="D12" t="s">
        <v>48</v>
      </c>
      <c r="E12" t="s">
        <v>64</v>
      </c>
      <c r="F12">
        <v>6.5</v>
      </c>
      <c r="G12">
        <v>2</v>
      </c>
    </row>
    <row r="13" spans="1:7" x14ac:dyDescent="0.55000000000000004">
      <c r="A13" t="s">
        <v>58</v>
      </c>
      <c r="B13" t="s">
        <v>76</v>
      </c>
      <c r="C13" t="s">
        <v>9</v>
      </c>
      <c r="D13" t="s">
        <v>48</v>
      </c>
      <c r="E13" t="s">
        <v>63</v>
      </c>
      <c r="F13">
        <v>6.5</v>
      </c>
      <c r="G13">
        <v>1</v>
      </c>
    </row>
    <row r="14" spans="1:7" x14ac:dyDescent="0.55000000000000004">
      <c r="A14" t="s">
        <v>58</v>
      </c>
      <c r="B14" t="s">
        <v>76</v>
      </c>
      <c r="C14" t="s">
        <v>9</v>
      </c>
      <c r="D14" t="s">
        <v>48</v>
      </c>
      <c r="E14" t="s">
        <v>60</v>
      </c>
      <c r="F14">
        <v>6.5</v>
      </c>
      <c r="G14">
        <v>0.5</v>
      </c>
    </row>
    <row r="16" spans="1:7" x14ac:dyDescent="0.55000000000000004">
      <c r="A16" t="s">
        <v>58</v>
      </c>
      <c r="B16" t="s">
        <v>66</v>
      </c>
      <c r="C16" t="s">
        <v>7</v>
      </c>
      <c r="D16" t="s">
        <v>48</v>
      </c>
      <c r="E16" t="s">
        <v>60</v>
      </c>
      <c r="F16">
        <v>8</v>
      </c>
      <c r="G16">
        <v>0.5</v>
      </c>
    </row>
    <row r="17" spans="1:7" x14ac:dyDescent="0.55000000000000004">
      <c r="A17" t="s">
        <v>58</v>
      </c>
      <c r="B17" t="s">
        <v>66</v>
      </c>
      <c r="C17" t="s">
        <v>7</v>
      </c>
      <c r="D17" t="s">
        <v>48</v>
      </c>
      <c r="E17" t="s">
        <v>65</v>
      </c>
      <c r="F17">
        <v>8</v>
      </c>
      <c r="G17">
        <v>1</v>
      </c>
    </row>
    <row r="18" spans="1:7" x14ac:dyDescent="0.55000000000000004">
      <c r="A18" t="s">
        <v>58</v>
      </c>
      <c r="B18" t="s">
        <v>66</v>
      </c>
      <c r="C18" t="s">
        <v>7</v>
      </c>
      <c r="D18" t="s">
        <v>48</v>
      </c>
      <c r="E18" t="s">
        <v>62</v>
      </c>
      <c r="F18">
        <v>8</v>
      </c>
      <c r="G18">
        <v>1.5</v>
      </c>
    </row>
    <row r="19" spans="1:7" x14ac:dyDescent="0.55000000000000004">
      <c r="A19" t="s">
        <v>58</v>
      </c>
      <c r="B19" t="s">
        <v>66</v>
      </c>
      <c r="C19" t="s">
        <v>7</v>
      </c>
      <c r="D19" t="s">
        <v>48</v>
      </c>
      <c r="E19" t="s">
        <v>64</v>
      </c>
      <c r="F19">
        <v>8</v>
      </c>
      <c r="G19">
        <v>2</v>
      </c>
    </row>
    <row r="21" spans="1:7" x14ac:dyDescent="0.55000000000000004">
      <c r="A21" t="s">
        <v>58</v>
      </c>
      <c r="B21" t="s">
        <v>66</v>
      </c>
      <c r="C21" t="s">
        <v>8</v>
      </c>
      <c r="D21" t="s">
        <v>48</v>
      </c>
      <c r="E21" t="s">
        <v>60</v>
      </c>
      <c r="F21">
        <v>8</v>
      </c>
      <c r="G21">
        <v>0.5</v>
      </c>
    </row>
    <row r="22" spans="1:7" x14ac:dyDescent="0.55000000000000004">
      <c r="A22" t="s">
        <v>58</v>
      </c>
      <c r="B22" t="s">
        <v>66</v>
      </c>
      <c r="C22" t="s">
        <v>8</v>
      </c>
      <c r="D22" t="s">
        <v>48</v>
      </c>
      <c r="E22" t="s">
        <v>65</v>
      </c>
      <c r="F22">
        <v>8</v>
      </c>
      <c r="G22">
        <v>1</v>
      </c>
    </row>
    <row r="23" spans="1:7" x14ac:dyDescent="0.55000000000000004">
      <c r="A23" t="s">
        <v>58</v>
      </c>
      <c r="B23" t="s">
        <v>66</v>
      </c>
      <c r="C23" t="s">
        <v>8</v>
      </c>
      <c r="D23" t="s">
        <v>48</v>
      </c>
      <c r="E23" t="s">
        <v>62</v>
      </c>
      <c r="F23">
        <v>8</v>
      </c>
      <c r="G23">
        <v>1.5</v>
      </c>
    </row>
    <row r="24" spans="1:7" x14ac:dyDescent="0.55000000000000004">
      <c r="A24" t="s">
        <v>58</v>
      </c>
      <c r="B24" t="s">
        <v>66</v>
      </c>
      <c r="C24" t="s">
        <v>8</v>
      </c>
      <c r="D24" t="s">
        <v>48</v>
      </c>
      <c r="E24" t="s">
        <v>64</v>
      </c>
      <c r="F24">
        <v>8</v>
      </c>
      <c r="G24">
        <v>2</v>
      </c>
    </row>
    <row r="26" spans="1:7" x14ac:dyDescent="0.55000000000000004">
      <c r="A26" t="s">
        <v>58</v>
      </c>
      <c r="B26" t="s">
        <v>76</v>
      </c>
      <c r="C26" t="s">
        <v>7</v>
      </c>
      <c r="D26" t="s">
        <v>67</v>
      </c>
      <c r="E26" t="s">
        <v>68</v>
      </c>
      <c r="F26">
        <v>8</v>
      </c>
      <c r="G26">
        <v>1</v>
      </c>
    </row>
    <row r="27" spans="1:7" x14ac:dyDescent="0.55000000000000004">
      <c r="A27" t="s">
        <v>58</v>
      </c>
      <c r="B27" t="s">
        <v>76</v>
      </c>
      <c r="C27" t="s">
        <v>7</v>
      </c>
      <c r="D27" t="s">
        <v>67</v>
      </c>
      <c r="E27" t="s">
        <v>69</v>
      </c>
      <c r="F27">
        <v>8</v>
      </c>
      <c r="G27">
        <v>2</v>
      </c>
    </row>
    <row r="28" spans="1:7" x14ac:dyDescent="0.55000000000000004">
      <c r="A28" t="s">
        <v>58</v>
      </c>
      <c r="B28" t="s">
        <v>76</v>
      </c>
      <c r="C28" t="s">
        <v>7</v>
      </c>
      <c r="D28" t="s">
        <v>67</v>
      </c>
      <c r="E28" t="s">
        <v>70</v>
      </c>
      <c r="F28">
        <v>9</v>
      </c>
      <c r="G28">
        <v>1</v>
      </c>
    </row>
    <row r="30" spans="1:7" x14ac:dyDescent="0.55000000000000004">
      <c r="A30" t="s">
        <v>58</v>
      </c>
      <c r="B30" t="s">
        <v>76</v>
      </c>
      <c r="C30" t="s">
        <v>8</v>
      </c>
      <c r="D30" t="s">
        <v>67</v>
      </c>
      <c r="E30" t="s">
        <v>71</v>
      </c>
      <c r="F30">
        <v>8</v>
      </c>
      <c r="G30">
        <v>1</v>
      </c>
    </row>
    <row r="31" spans="1:7" x14ac:dyDescent="0.55000000000000004">
      <c r="A31" t="s">
        <v>58</v>
      </c>
      <c r="B31" t="s">
        <v>76</v>
      </c>
      <c r="C31" t="s">
        <v>8</v>
      </c>
      <c r="D31" t="s">
        <v>67</v>
      </c>
      <c r="E31" t="s">
        <v>72</v>
      </c>
      <c r="F31">
        <v>8</v>
      </c>
      <c r="G31">
        <v>2</v>
      </c>
    </row>
    <row r="32" spans="1:7" x14ac:dyDescent="0.55000000000000004">
      <c r="A32" t="s">
        <v>58</v>
      </c>
      <c r="B32" t="s">
        <v>76</v>
      </c>
      <c r="C32" t="s">
        <v>8</v>
      </c>
      <c r="D32" t="s">
        <v>67</v>
      </c>
      <c r="E32" t="s">
        <v>60</v>
      </c>
      <c r="F32">
        <v>9</v>
      </c>
      <c r="G32">
        <v>0</v>
      </c>
    </row>
    <row r="33" spans="1:7" x14ac:dyDescent="0.55000000000000004">
      <c r="A33" t="s">
        <v>58</v>
      </c>
      <c r="B33" t="s">
        <v>76</v>
      </c>
      <c r="C33" t="s">
        <v>8</v>
      </c>
      <c r="D33" t="s">
        <v>67</v>
      </c>
      <c r="E33" t="s">
        <v>75</v>
      </c>
      <c r="F33">
        <v>9</v>
      </c>
      <c r="G33">
        <v>1</v>
      </c>
    </row>
    <row r="35" spans="1:7" x14ac:dyDescent="0.55000000000000004">
      <c r="A35" t="s">
        <v>58</v>
      </c>
      <c r="B35" t="s">
        <v>76</v>
      </c>
      <c r="C35" t="s">
        <v>9</v>
      </c>
      <c r="D35" t="s">
        <v>67</v>
      </c>
      <c r="E35" t="s">
        <v>73</v>
      </c>
      <c r="F35">
        <v>6.5</v>
      </c>
      <c r="G35">
        <v>1</v>
      </c>
    </row>
    <row r="36" spans="1:7" x14ac:dyDescent="0.55000000000000004">
      <c r="A36" t="s">
        <v>58</v>
      </c>
      <c r="B36" t="s">
        <v>76</v>
      </c>
      <c r="C36" t="s">
        <v>9</v>
      </c>
      <c r="D36" t="s">
        <v>67</v>
      </c>
      <c r="E36" t="s">
        <v>72</v>
      </c>
      <c r="F36">
        <v>6.5</v>
      </c>
      <c r="G36">
        <v>2</v>
      </c>
    </row>
    <row r="37" spans="1:7" x14ac:dyDescent="0.55000000000000004">
      <c r="A37" t="s">
        <v>58</v>
      </c>
      <c r="B37" t="s">
        <v>76</v>
      </c>
      <c r="C37" t="s">
        <v>9</v>
      </c>
      <c r="D37" t="s">
        <v>67</v>
      </c>
      <c r="E37" t="s">
        <v>60</v>
      </c>
      <c r="F37">
        <v>7.5</v>
      </c>
      <c r="G37">
        <v>0</v>
      </c>
    </row>
    <row r="38" spans="1:7" x14ac:dyDescent="0.55000000000000004">
      <c r="A38" t="s">
        <v>58</v>
      </c>
      <c r="B38" t="s">
        <v>76</v>
      </c>
      <c r="C38" t="s">
        <v>9</v>
      </c>
      <c r="D38" t="s">
        <v>67</v>
      </c>
      <c r="E38" t="s">
        <v>74</v>
      </c>
      <c r="F38">
        <v>7.5</v>
      </c>
      <c r="G3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9AA2-8B60-40E1-9F40-C649D52B19B8}">
  <dimension ref="A1"/>
  <sheetViews>
    <sheetView workbookViewId="0">
      <selection activeCell="F12" sqref="F12"/>
    </sheetView>
  </sheetViews>
  <sheetFormatPr defaultRowHeight="14.4" x14ac:dyDescent="0.55000000000000004"/>
  <sheetData>
    <row r="1" spans="1:1" x14ac:dyDescent="0.55000000000000004">
      <c r="A1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7C91-481D-4C34-AE2E-B7D0C672F37B}">
  <dimension ref="A1:P12"/>
  <sheetViews>
    <sheetView zoomScale="109" workbookViewId="0">
      <selection activeCell="P12" sqref="A1:P12"/>
    </sheetView>
  </sheetViews>
  <sheetFormatPr defaultRowHeight="14.4" x14ac:dyDescent="0.55000000000000004"/>
  <cols>
    <col min="1" max="1" width="12.41796875" customWidth="1"/>
    <col min="2" max="2" width="10.9453125" customWidth="1"/>
    <col min="3" max="3" width="29.62890625" customWidth="1"/>
    <col min="4" max="4" width="10.68359375" customWidth="1"/>
    <col min="5" max="5" width="43.15625" customWidth="1"/>
    <col min="6" max="6" width="7" customWidth="1"/>
    <col min="7" max="7" width="7.3671875" customWidth="1"/>
    <col min="8" max="8" width="11.89453125" bestFit="1" customWidth="1"/>
    <col min="9" max="9" width="8.68359375" customWidth="1"/>
    <col min="10" max="10" width="13.734375" customWidth="1"/>
    <col min="15" max="16" width="13.7890625" bestFit="1" customWidth="1"/>
  </cols>
  <sheetData>
    <row r="1" spans="1:16" x14ac:dyDescent="0.55000000000000004">
      <c r="B1" s="5" t="s">
        <v>0</v>
      </c>
      <c r="C1" s="5" t="s">
        <v>30</v>
      </c>
      <c r="D1" s="5" t="s">
        <v>14</v>
      </c>
      <c r="E1" s="5" t="s">
        <v>1</v>
      </c>
      <c r="F1" s="5" t="s">
        <v>17</v>
      </c>
      <c r="G1" s="5" t="s">
        <v>16</v>
      </c>
      <c r="H1" s="5" t="s">
        <v>15</v>
      </c>
      <c r="I1" s="5" t="s">
        <v>3</v>
      </c>
      <c r="J1" s="5" t="s">
        <v>5</v>
      </c>
      <c r="K1" s="5" t="s">
        <v>4</v>
      </c>
      <c r="L1" s="5" t="s">
        <v>2</v>
      </c>
      <c r="M1" s="5" t="s">
        <v>27</v>
      </c>
      <c r="N1" s="5" t="s">
        <v>28</v>
      </c>
      <c r="O1" t="s">
        <v>52</v>
      </c>
      <c r="P1" t="s">
        <v>53</v>
      </c>
    </row>
    <row r="2" spans="1:16" x14ac:dyDescent="0.55000000000000004">
      <c r="A2" t="s">
        <v>18</v>
      </c>
      <c r="B2" t="s">
        <v>6</v>
      </c>
      <c r="C2" t="s">
        <v>51</v>
      </c>
      <c r="D2" t="s">
        <v>7</v>
      </c>
      <c r="E2" t="s">
        <v>35</v>
      </c>
      <c r="F2">
        <f>VLOOKUP(D2,PAYRATES!$A$1:$D$5,2,FALSE)</f>
        <v>53.17</v>
      </c>
      <c r="G2">
        <f>ROUND(F2*1.5,2)</f>
        <v>79.760000000000005</v>
      </c>
      <c r="H2" s="1">
        <v>0</v>
      </c>
      <c r="I2">
        <f>G2+H2</f>
        <v>79.760000000000005</v>
      </c>
      <c r="J2">
        <f>F2+H2</f>
        <v>53.17</v>
      </c>
      <c r="K2" s="1">
        <v>8</v>
      </c>
      <c r="L2" s="1">
        <v>0</v>
      </c>
      <c r="M2" s="2">
        <f>(J2*K2)+(I2*L2)</f>
        <v>425.36</v>
      </c>
      <c r="N2">
        <v>2024</v>
      </c>
      <c r="O2" s="8">
        <v>46113</v>
      </c>
      <c r="P2" s="8">
        <v>45748</v>
      </c>
    </row>
    <row r="3" spans="1:16" x14ac:dyDescent="0.55000000000000004">
      <c r="A3" t="s">
        <v>19</v>
      </c>
      <c r="B3" t="s">
        <v>6</v>
      </c>
      <c r="C3" t="str">
        <f>C$2</f>
        <v>BUNNY BUS</v>
      </c>
      <c r="D3" t="s">
        <v>8</v>
      </c>
      <c r="E3" t="str">
        <f>E$2</f>
        <v>CENTENNIAL, VANTERM, DELTAPORT, FRASER SURREY</v>
      </c>
      <c r="F3">
        <f>VLOOKUP(D3,PAYRATES!$A$1:$D$5,2,FALSE)</f>
        <v>66.98</v>
      </c>
      <c r="G3">
        <f>ROUND(F3*1.5,2)</f>
        <v>100.47</v>
      </c>
      <c r="H3">
        <f>H$2</f>
        <v>0</v>
      </c>
      <c r="I3">
        <f>G3+H3</f>
        <v>100.47</v>
      </c>
      <c r="J3">
        <f>F3+H3</f>
        <v>66.98</v>
      </c>
      <c r="K3">
        <f>K$2</f>
        <v>8</v>
      </c>
      <c r="L3">
        <v>0</v>
      </c>
      <c r="M3" s="2">
        <f t="shared" ref="M3:M4" si="0">(J3*K3)+(I3*L3)</f>
        <v>535.84</v>
      </c>
      <c r="N3">
        <v>2024</v>
      </c>
      <c r="O3" s="8">
        <v>46113</v>
      </c>
      <c r="P3" s="8">
        <v>45748</v>
      </c>
    </row>
    <row r="4" spans="1:16" x14ac:dyDescent="0.55000000000000004">
      <c r="A4" t="s">
        <v>20</v>
      </c>
      <c r="B4" t="s">
        <v>6</v>
      </c>
      <c r="C4" t="str">
        <f>C$2</f>
        <v>BUNNY BUS</v>
      </c>
      <c r="D4" t="s">
        <v>9</v>
      </c>
      <c r="E4" t="str">
        <f>E$2</f>
        <v>CENTENNIAL, VANTERM, DELTAPORT, FRASER SURREY</v>
      </c>
      <c r="F4">
        <f>VLOOKUP(D4,PAYRATES!$A$1:$D$5,2,FALSE)</f>
        <v>82.73</v>
      </c>
      <c r="G4">
        <f>ROUND(F4*1.5,2)</f>
        <v>124.1</v>
      </c>
      <c r="H4">
        <f>H$2</f>
        <v>0</v>
      </c>
      <c r="I4">
        <f>G4+H4</f>
        <v>124.1</v>
      </c>
      <c r="J4">
        <f>F4+H4</f>
        <v>82.73</v>
      </c>
      <c r="K4">
        <v>6.5</v>
      </c>
      <c r="L4">
        <v>0</v>
      </c>
      <c r="M4" s="2">
        <f t="shared" si="0"/>
        <v>537.745</v>
      </c>
      <c r="N4">
        <v>2024</v>
      </c>
      <c r="O4" s="8">
        <v>46113</v>
      </c>
      <c r="P4" s="8">
        <v>45748</v>
      </c>
    </row>
    <row r="5" spans="1:16" x14ac:dyDescent="0.55000000000000004">
      <c r="M5" s="2"/>
      <c r="O5" s="8">
        <v>46113</v>
      </c>
      <c r="P5" s="8">
        <v>45748</v>
      </c>
    </row>
    <row r="6" spans="1:16" x14ac:dyDescent="0.55000000000000004">
      <c r="A6" t="s">
        <v>21</v>
      </c>
      <c r="B6">
        <v>6</v>
      </c>
      <c r="C6" t="str">
        <f t="shared" ref="C6:C8" si="1">C$2</f>
        <v>BUNNY BUS</v>
      </c>
      <c r="D6" t="s">
        <v>7</v>
      </c>
      <c r="E6" t="str">
        <f t="shared" ref="E6:E8" si="2">E$2</f>
        <v>CENTENNIAL, VANTERM, DELTAPORT, FRASER SURREY</v>
      </c>
      <c r="F6">
        <f>VLOOKUP(D6,PAYRATES!$A$1:$D$5,3,FALSE)</f>
        <v>68.06</v>
      </c>
      <c r="G6">
        <f>ROUND(F6*1.5,2)</f>
        <v>102.09</v>
      </c>
      <c r="H6">
        <f t="shared" ref="H6:H8" si="3">H$2</f>
        <v>0</v>
      </c>
      <c r="I6">
        <f>G6+H6</f>
        <v>102.09</v>
      </c>
      <c r="J6">
        <f>F6+H6</f>
        <v>68.06</v>
      </c>
      <c r="K6">
        <f t="shared" ref="K6:K7" si="4">K$2</f>
        <v>8</v>
      </c>
      <c r="L6">
        <v>0</v>
      </c>
      <c r="M6" s="2">
        <f t="shared" ref="M6:M8" si="5">(J6*K6)+(I6*L6)</f>
        <v>544.48</v>
      </c>
      <c r="N6">
        <v>2024</v>
      </c>
      <c r="O6" s="8">
        <v>46113</v>
      </c>
      <c r="P6" s="8">
        <v>45748</v>
      </c>
    </row>
    <row r="7" spans="1:16" x14ac:dyDescent="0.55000000000000004">
      <c r="A7" t="s">
        <v>22</v>
      </c>
      <c r="B7">
        <v>6</v>
      </c>
      <c r="C7" t="str">
        <f t="shared" si="1"/>
        <v>BUNNY BUS</v>
      </c>
      <c r="D7" t="s">
        <v>8</v>
      </c>
      <c r="E7" t="str">
        <f t="shared" si="2"/>
        <v>CENTENNIAL, VANTERM, DELTAPORT, FRASER SURREY</v>
      </c>
      <c r="F7">
        <f>VLOOKUP(D7,PAYRATES!$A$1:$D$5,3,FALSE)</f>
        <v>85.07</v>
      </c>
      <c r="G7">
        <f>ROUND(F7*1.5,2)</f>
        <v>127.61</v>
      </c>
      <c r="H7">
        <f t="shared" si="3"/>
        <v>0</v>
      </c>
      <c r="I7">
        <f>G7+H7</f>
        <v>127.61</v>
      </c>
      <c r="J7">
        <f>F7+H7</f>
        <v>85.07</v>
      </c>
      <c r="K7">
        <f t="shared" si="4"/>
        <v>8</v>
      </c>
      <c r="L7">
        <v>0</v>
      </c>
      <c r="M7" s="2">
        <f t="shared" si="5"/>
        <v>680.56</v>
      </c>
      <c r="N7">
        <v>2024</v>
      </c>
      <c r="O7" s="8">
        <v>46113</v>
      </c>
      <c r="P7" s="8">
        <v>45748</v>
      </c>
    </row>
    <row r="8" spans="1:16" x14ac:dyDescent="0.55000000000000004">
      <c r="A8" t="s">
        <v>26</v>
      </c>
      <c r="B8">
        <v>6</v>
      </c>
      <c r="C8" t="str">
        <f t="shared" si="1"/>
        <v>BUNNY BUS</v>
      </c>
      <c r="D8" t="s">
        <v>9</v>
      </c>
      <c r="E8" t="str">
        <f t="shared" si="2"/>
        <v>CENTENNIAL, VANTERM, DELTAPORT, FRASER SURREY</v>
      </c>
      <c r="F8">
        <f>VLOOKUP(D8,PAYRATES!$A$1:$D$5,3,FALSE)</f>
        <v>85.07</v>
      </c>
      <c r="G8">
        <f>ROUND(F8*1.5,2)</f>
        <v>127.61</v>
      </c>
      <c r="H8">
        <f t="shared" si="3"/>
        <v>0</v>
      </c>
      <c r="I8">
        <f>G8+H8</f>
        <v>127.61</v>
      </c>
      <c r="J8">
        <f>F8+H8</f>
        <v>85.07</v>
      </c>
      <c r="K8">
        <v>6.5</v>
      </c>
      <c r="L8">
        <v>0</v>
      </c>
      <c r="M8" s="2">
        <f t="shared" si="5"/>
        <v>552.95499999999993</v>
      </c>
      <c r="N8">
        <v>2024</v>
      </c>
      <c r="O8" s="8">
        <v>46113</v>
      </c>
      <c r="P8" s="8">
        <v>45748</v>
      </c>
    </row>
    <row r="9" spans="1:16" x14ac:dyDescent="0.55000000000000004">
      <c r="M9" s="2"/>
      <c r="O9" s="8">
        <v>46113</v>
      </c>
      <c r="P9" s="8">
        <v>45748</v>
      </c>
    </row>
    <row r="10" spans="1:16" x14ac:dyDescent="0.55000000000000004">
      <c r="A10" t="s">
        <v>23</v>
      </c>
      <c r="B10">
        <v>0</v>
      </c>
      <c r="C10" t="str">
        <f t="shared" ref="C10:C12" si="6">C$2</f>
        <v>BUNNY BUS</v>
      </c>
      <c r="D10" t="s">
        <v>7</v>
      </c>
      <c r="E10" t="str">
        <f t="shared" ref="E10:E12" si="7">E$2</f>
        <v>CENTENNIAL, VANTERM, DELTAPORT, FRASER SURREY</v>
      </c>
      <c r="F10">
        <f>VLOOKUP(D10,PAYRATES!$A$1:$D$5,4,FALSE)</f>
        <v>85.07</v>
      </c>
      <c r="G10">
        <f>ROUND(F10*1.5,2)</f>
        <v>127.61</v>
      </c>
      <c r="H10">
        <f t="shared" ref="H10:H12" si="8">H$2</f>
        <v>0</v>
      </c>
      <c r="I10">
        <f>G10+H10</f>
        <v>127.61</v>
      </c>
      <c r="J10">
        <f>F10+H10</f>
        <v>85.07</v>
      </c>
      <c r="K10">
        <f t="shared" ref="K10:K11" si="9">K$2</f>
        <v>8</v>
      </c>
      <c r="L10">
        <v>0</v>
      </c>
      <c r="M10" s="2">
        <f t="shared" ref="M10:M12" si="10">(J10*K10)+(I10*L10)</f>
        <v>680.56</v>
      </c>
      <c r="N10">
        <v>2024</v>
      </c>
      <c r="O10" s="8">
        <v>46113</v>
      </c>
      <c r="P10" s="8">
        <v>45748</v>
      </c>
    </row>
    <row r="11" spans="1:16" x14ac:dyDescent="0.55000000000000004">
      <c r="A11" t="s">
        <v>24</v>
      </c>
      <c r="B11">
        <v>0</v>
      </c>
      <c r="C11" t="str">
        <f t="shared" si="6"/>
        <v>BUNNY BUS</v>
      </c>
      <c r="D11" t="s">
        <v>8</v>
      </c>
      <c r="E11" t="str">
        <f t="shared" si="7"/>
        <v>CENTENNIAL, VANTERM, DELTAPORT, FRASER SURREY</v>
      </c>
      <c r="F11">
        <f>VLOOKUP(D11,PAYRATES!$A$1:$D$5,4,FALSE)</f>
        <v>85.07</v>
      </c>
      <c r="G11">
        <f>ROUND(F11*1.5,2)</f>
        <v>127.61</v>
      </c>
      <c r="H11">
        <f t="shared" si="8"/>
        <v>0</v>
      </c>
      <c r="I11">
        <f>G11+H11</f>
        <v>127.61</v>
      </c>
      <c r="J11">
        <f>F11+H11</f>
        <v>85.07</v>
      </c>
      <c r="K11">
        <f t="shared" si="9"/>
        <v>8</v>
      </c>
      <c r="L11">
        <v>0</v>
      </c>
      <c r="M11" s="2">
        <f t="shared" si="10"/>
        <v>680.56</v>
      </c>
      <c r="N11">
        <v>2024</v>
      </c>
      <c r="O11" s="8">
        <v>46113</v>
      </c>
      <c r="P11" s="8">
        <v>45748</v>
      </c>
    </row>
    <row r="12" spans="1:16" x14ac:dyDescent="0.55000000000000004">
      <c r="A12" t="s">
        <v>25</v>
      </c>
      <c r="B12">
        <v>0</v>
      </c>
      <c r="C12" t="str">
        <f t="shared" si="6"/>
        <v>BUNNY BUS</v>
      </c>
      <c r="D12" t="s">
        <v>9</v>
      </c>
      <c r="E12" t="str">
        <f t="shared" si="7"/>
        <v>CENTENNIAL, VANTERM, DELTAPORT, FRASER SURREY</v>
      </c>
      <c r="F12">
        <f>VLOOKUP(D12,PAYRATES!$A$1:$D$5,4,FALSE)</f>
        <v>85.07</v>
      </c>
      <c r="G12">
        <f>ROUND(F12*1.5,2)</f>
        <v>127.61</v>
      </c>
      <c r="H12">
        <f t="shared" si="8"/>
        <v>0</v>
      </c>
      <c r="I12">
        <f>G12+H12</f>
        <v>127.61</v>
      </c>
      <c r="J12">
        <f>F12+H12</f>
        <v>85.07</v>
      </c>
      <c r="K12">
        <v>6.5</v>
      </c>
      <c r="L12">
        <v>0</v>
      </c>
      <c r="M12" s="2">
        <f t="shared" si="10"/>
        <v>552.95499999999993</v>
      </c>
      <c r="N12">
        <v>2024</v>
      </c>
      <c r="O12" s="8">
        <v>46113</v>
      </c>
      <c r="P12" s="8">
        <v>45748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B644-0C36-455E-A777-9BE7C1E19B71}">
  <dimension ref="A1:N12"/>
  <sheetViews>
    <sheetView zoomScale="109" workbookViewId="0">
      <selection activeCell="K2" sqref="K2"/>
    </sheetView>
  </sheetViews>
  <sheetFormatPr defaultRowHeight="14.4" x14ac:dyDescent="0.55000000000000004"/>
  <cols>
    <col min="1" max="1" width="12.41796875" customWidth="1"/>
    <col min="2" max="2" width="10.9453125" customWidth="1"/>
    <col min="3" max="3" width="29.62890625" customWidth="1"/>
    <col min="4" max="4" width="10.68359375" customWidth="1"/>
    <col min="5" max="5" width="29.9453125" customWidth="1"/>
    <col min="6" max="6" width="7" customWidth="1"/>
    <col min="7" max="7" width="7.3671875" customWidth="1"/>
    <col min="8" max="8" width="11.89453125" bestFit="1" customWidth="1"/>
    <col min="9" max="9" width="8.68359375" customWidth="1"/>
    <col min="10" max="10" width="13.734375" customWidth="1"/>
  </cols>
  <sheetData>
    <row r="1" spans="1:14" x14ac:dyDescent="0.55000000000000004">
      <c r="B1" s="5" t="s">
        <v>0</v>
      </c>
      <c r="C1" s="5" t="s">
        <v>30</v>
      </c>
      <c r="D1" s="5" t="s">
        <v>14</v>
      </c>
      <c r="E1" s="5" t="s">
        <v>1</v>
      </c>
      <c r="F1" s="5" t="s">
        <v>17</v>
      </c>
      <c r="G1" s="5" t="s">
        <v>16</v>
      </c>
      <c r="H1" s="5" t="s">
        <v>15</v>
      </c>
      <c r="I1" s="5" t="s">
        <v>3</v>
      </c>
      <c r="J1" s="5" t="s">
        <v>5</v>
      </c>
      <c r="K1" s="5" t="s">
        <v>4</v>
      </c>
      <c r="L1" s="5" t="s">
        <v>2</v>
      </c>
      <c r="M1" s="5" t="s">
        <v>27</v>
      </c>
      <c r="N1" s="5" t="s">
        <v>28</v>
      </c>
    </row>
    <row r="2" spans="1:14" x14ac:dyDescent="0.55000000000000004">
      <c r="A2" t="s">
        <v>18</v>
      </c>
      <c r="B2" t="s">
        <v>6</v>
      </c>
      <c r="C2" t="s">
        <v>36</v>
      </c>
      <c r="D2" t="s">
        <v>7</v>
      </c>
      <c r="E2" t="s">
        <v>35</v>
      </c>
      <c r="F2">
        <f>VLOOKUP(D2,PAYRATES!$A$1:$D$5,2,FALSE)</f>
        <v>53.17</v>
      </c>
      <c r="G2">
        <f>ROUND(F2*1.5,2)</f>
        <v>79.760000000000005</v>
      </c>
      <c r="H2" s="1">
        <v>1</v>
      </c>
      <c r="I2">
        <f>G2+H2</f>
        <v>80.760000000000005</v>
      </c>
      <c r="J2">
        <f>F2+H2</f>
        <v>54.17</v>
      </c>
      <c r="K2" s="1">
        <v>8</v>
      </c>
      <c r="L2" s="1">
        <v>1</v>
      </c>
      <c r="M2" s="2">
        <f>(J2*K2)+(I2*L2)</f>
        <v>514.12</v>
      </c>
      <c r="N2">
        <v>2024</v>
      </c>
    </row>
    <row r="3" spans="1:14" x14ac:dyDescent="0.55000000000000004">
      <c r="A3" t="s">
        <v>19</v>
      </c>
      <c r="B3" t="s">
        <v>6</v>
      </c>
      <c r="C3" t="str">
        <f>C$2</f>
        <v>RUBBER TIRE GANTRY</v>
      </c>
      <c r="D3" t="s">
        <v>8</v>
      </c>
      <c r="E3" t="str">
        <f>E$2</f>
        <v>CENTENNIAL, VANTERM, DELTAPORT, FRASER SURREY</v>
      </c>
      <c r="F3">
        <f>VLOOKUP(D3,PAYRATES!$A$1:$D$5,2,FALSE)</f>
        <v>66.98</v>
      </c>
      <c r="G3">
        <f>ROUND(F3*1.5,2)</f>
        <v>100.47</v>
      </c>
      <c r="H3">
        <f>H$2</f>
        <v>1</v>
      </c>
      <c r="I3">
        <f>G3+H3</f>
        <v>101.47</v>
      </c>
      <c r="J3">
        <f>F3+H3</f>
        <v>67.98</v>
      </c>
      <c r="K3">
        <f>K$2</f>
        <v>8</v>
      </c>
      <c r="L3">
        <v>0</v>
      </c>
      <c r="M3" s="2">
        <f t="shared" ref="M3:M4" si="0">(J3*K3)+(I3*L3)</f>
        <v>543.84</v>
      </c>
      <c r="N3">
        <v>2024</v>
      </c>
    </row>
    <row r="4" spans="1:14" x14ac:dyDescent="0.55000000000000004">
      <c r="A4" t="s">
        <v>20</v>
      </c>
      <c r="B4" t="s">
        <v>6</v>
      </c>
      <c r="C4" t="str">
        <f>C$2</f>
        <v>RUBBER TIRE GANTRY</v>
      </c>
      <c r="D4" t="s">
        <v>9</v>
      </c>
      <c r="E4" t="str">
        <f>E$2</f>
        <v>CENTENNIAL, VANTERM, DELTAPORT, FRASER SURREY</v>
      </c>
      <c r="F4">
        <f>VLOOKUP(D4,PAYRATES!$A$1:$D$5,2,FALSE)</f>
        <v>82.73</v>
      </c>
      <c r="G4">
        <f>ROUND(F4*1.5,2)</f>
        <v>124.1</v>
      </c>
      <c r="H4">
        <f>H$2</f>
        <v>1</v>
      </c>
      <c r="I4">
        <f>G4+H4</f>
        <v>125.1</v>
      </c>
      <c r="J4">
        <f>F4+H4</f>
        <v>83.73</v>
      </c>
      <c r="K4">
        <v>6.5</v>
      </c>
      <c r="L4">
        <v>0</v>
      </c>
      <c r="M4" s="2">
        <f t="shared" si="0"/>
        <v>544.245</v>
      </c>
      <c r="N4">
        <v>2024</v>
      </c>
    </row>
    <row r="5" spans="1:14" x14ac:dyDescent="0.55000000000000004">
      <c r="M5" s="2"/>
    </row>
    <row r="6" spans="1:14" x14ac:dyDescent="0.55000000000000004">
      <c r="A6" t="s">
        <v>21</v>
      </c>
      <c r="B6">
        <v>6</v>
      </c>
      <c r="C6" t="str">
        <f t="shared" ref="C6:C8" si="1">C$2</f>
        <v>RUBBER TIRE GANTRY</v>
      </c>
      <c r="D6" t="s">
        <v>7</v>
      </c>
      <c r="E6" t="str">
        <f t="shared" ref="E6:E8" si="2">E$2</f>
        <v>CENTENNIAL, VANTERM, DELTAPORT, FRASER SURREY</v>
      </c>
      <c r="F6">
        <f>VLOOKUP(D6,PAYRATES!$A$1:$D$5,3,FALSE)</f>
        <v>68.06</v>
      </c>
      <c r="G6">
        <f>ROUND(F6*1.5,2)</f>
        <v>102.09</v>
      </c>
      <c r="H6">
        <f t="shared" ref="H6:H8" si="3">H$2</f>
        <v>1</v>
      </c>
      <c r="I6">
        <f>G6+H6</f>
        <v>103.09</v>
      </c>
      <c r="J6">
        <f>F6+H6</f>
        <v>69.06</v>
      </c>
      <c r="K6">
        <f t="shared" ref="K6:K7" si="4">K$2</f>
        <v>8</v>
      </c>
      <c r="L6">
        <v>0</v>
      </c>
      <c r="M6" s="2">
        <f t="shared" ref="M6:M8" si="5">(J6*K6)+(I6*L6)</f>
        <v>552.48</v>
      </c>
      <c r="N6">
        <v>2024</v>
      </c>
    </row>
    <row r="7" spans="1:14" x14ac:dyDescent="0.55000000000000004">
      <c r="A7" t="s">
        <v>22</v>
      </c>
      <c r="B7">
        <v>6</v>
      </c>
      <c r="C7" t="str">
        <f t="shared" si="1"/>
        <v>RUBBER TIRE GANTRY</v>
      </c>
      <c r="D7" t="s">
        <v>8</v>
      </c>
      <c r="E7" t="str">
        <f t="shared" si="2"/>
        <v>CENTENNIAL, VANTERM, DELTAPORT, FRASER SURREY</v>
      </c>
      <c r="F7">
        <f>VLOOKUP(D7,PAYRATES!$A$1:$D$5,3,FALSE)</f>
        <v>85.07</v>
      </c>
      <c r="G7">
        <f>ROUND(F7*1.5,2)</f>
        <v>127.61</v>
      </c>
      <c r="H7">
        <f t="shared" si="3"/>
        <v>1</v>
      </c>
      <c r="I7">
        <f>G7+H7</f>
        <v>128.61000000000001</v>
      </c>
      <c r="J7">
        <f>F7+H7</f>
        <v>86.07</v>
      </c>
      <c r="K7">
        <f t="shared" si="4"/>
        <v>8</v>
      </c>
      <c r="L7">
        <v>0</v>
      </c>
      <c r="M7" s="2">
        <f t="shared" si="5"/>
        <v>688.56</v>
      </c>
      <c r="N7">
        <v>2024</v>
      </c>
    </row>
    <row r="8" spans="1:14" x14ac:dyDescent="0.55000000000000004">
      <c r="A8" t="s">
        <v>26</v>
      </c>
      <c r="B8">
        <v>6</v>
      </c>
      <c r="C8" t="str">
        <f t="shared" si="1"/>
        <v>RUBBER TIRE GANTRY</v>
      </c>
      <c r="D8" t="s">
        <v>9</v>
      </c>
      <c r="E8" t="str">
        <f t="shared" si="2"/>
        <v>CENTENNIAL, VANTERM, DELTAPORT, FRASER SURREY</v>
      </c>
      <c r="F8">
        <f>VLOOKUP(D8,PAYRATES!$A$1:$D$5,3,FALSE)</f>
        <v>85.07</v>
      </c>
      <c r="G8">
        <f>ROUND(F8*1.5,2)</f>
        <v>127.61</v>
      </c>
      <c r="H8">
        <f t="shared" si="3"/>
        <v>1</v>
      </c>
      <c r="I8">
        <f>G8+H8</f>
        <v>128.61000000000001</v>
      </c>
      <c r="J8">
        <f>F8+H8</f>
        <v>86.07</v>
      </c>
      <c r="K8">
        <v>6.5</v>
      </c>
      <c r="L8">
        <v>0</v>
      </c>
      <c r="M8" s="2">
        <f t="shared" si="5"/>
        <v>559.45499999999993</v>
      </c>
      <c r="N8">
        <v>2024</v>
      </c>
    </row>
    <row r="9" spans="1:14" x14ac:dyDescent="0.55000000000000004">
      <c r="M9" s="2"/>
    </row>
    <row r="10" spans="1:14" x14ac:dyDescent="0.55000000000000004">
      <c r="A10" t="s">
        <v>23</v>
      </c>
      <c r="B10">
        <v>0</v>
      </c>
      <c r="C10" t="str">
        <f t="shared" ref="C10:C12" si="6">C$2</f>
        <v>RUBBER TIRE GANTRY</v>
      </c>
      <c r="D10" t="s">
        <v>7</v>
      </c>
      <c r="E10" t="str">
        <f t="shared" ref="E10:E12" si="7">E$2</f>
        <v>CENTENNIAL, VANTERM, DELTAPORT, FRASER SURREY</v>
      </c>
      <c r="F10">
        <f>VLOOKUP(D10,PAYRATES!$A$1:$D$5,4,FALSE)</f>
        <v>85.07</v>
      </c>
      <c r="G10">
        <f>ROUND(F10*1.5,2)</f>
        <v>127.61</v>
      </c>
      <c r="H10">
        <f t="shared" ref="H10:H12" si="8">H$2</f>
        <v>1</v>
      </c>
      <c r="I10">
        <f>G10+H10</f>
        <v>128.61000000000001</v>
      </c>
      <c r="J10">
        <f>F10+H10</f>
        <v>86.07</v>
      </c>
      <c r="K10">
        <f t="shared" ref="K10:K11" si="9">K$2</f>
        <v>8</v>
      </c>
      <c r="L10">
        <v>0</v>
      </c>
      <c r="M10" s="2">
        <f t="shared" ref="M10:M12" si="10">(J10*K10)+(I10*L10)</f>
        <v>688.56</v>
      </c>
      <c r="N10">
        <v>2024</v>
      </c>
    </row>
    <row r="11" spans="1:14" x14ac:dyDescent="0.55000000000000004">
      <c r="A11" t="s">
        <v>24</v>
      </c>
      <c r="B11">
        <v>0</v>
      </c>
      <c r="C11" t="str">
        <f t="shared" si="6"/>
        <v>RUBBER TIRE GANTRY</v>
      </c>
      <c r="D11" t="s">
        <v>8</v>
      </c>
      <c r="E11" t="str">
        <f t="shared" si="7"/>
        <v>CENTENNIAL, VANTERM, DELTAPORT, FRASER SURREY</v>
      </c>
      <c r="F11">
        <f>VLOOKUP(D11,PAYRATES!$A$1:$D$5,4,FALSE)</f>
        <v>85.07</v>
      </c>
      <c r="G11">
        <f>ROUND(F11*1.5,2)</f>
        <v>127.61</v>
      </c>
      <c r="H11">
        <f t="shared" si="8"/>
        <v>1</v>
      </c>
      <c r="I11">
        <f>G11+H11</f>
        <v>128.61000000000001</v>
      </c>
      <c r="J11">
        <f>F11+H11</f>
        <v>86.07</v>
      </c>
      <c r="K11">
        <f t="shared" si="9"/>
        <v>8</v>
      </c>
      <c r="L11">
        <v>0</v>
      </c>
      <c r="M11" s="2">
        <f t="shared" si="10"/>
        <v>688.56</v>
      </c>
      <c r="N11">
        <v>2024</v>
      </c>
    </row>
    <row r="12" spans="1:14" x14ac:dyDescent="0.55000000000000004">
      <c r="A12" t="s">
        <v>25</v>
      </c>
      <c r="B12">
        <v>0</v>
      </c>
      <c r="C12" t="str">
        <f t="shared" si="6"/>
        <v>RUBBER TIRE GANTRY</v>
      </c>
      <c r="D12" t="s">
        <v>9</v>
      </c>
      <c r="E12" t="str">
        <f t="shared" si="7"/>
        <v>CENTENNIAL, VANTERM, DELTAPORT, FRASER SURREY</v>
      </c>
      <c r="F12">
        <f>VLOOKUP(D12,PAYRATES!$A$1:$D$5,4,FALSE)</f>
        <v>85.07</v>
      </c>
      <c r="G12">
        <f>ROUND(F12*1.5,2)</f>
        <v>127.61</v>
      </c>
      <c r="H12">
        <f t="shared" si="8"/>
        <v>1</v>
      </c>
      <c r="I12">
        <f>G12+H12</f>
        <v>128.61000000000001</v>
      </c>
      <c r="J12">
        <f>F12+H12</f>
        <v>86.07</v>
      </c>
      <c r="K12">
        <v>6.5</v>
      </c>
      <c r="L12">
        <v>0</v>
      </c>
      <c r="M12" s="2">
        <f t="shared" si="10"/>
        <v>559.45499999999993</v>
      </c>
      <c r="N12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3881-F964-4048-A5ED-3CB995D8BA77}">
  <dimension ref="A1:N19"/>
  <sheetViews>
    <sheetView workbookViewId="0">
      <selection activeCell="G16" sqref="G16"/>
    </sheetView>
  </sheetViews>
  <sheetFormatPr defaultRowHeight="14.4" x14ac:dyDescent="0.55000000000000004"/>
  <cols>
    <col min="1" max="1" width="12.41796875" customWidth="1"/>
    <col min="2" max="2" width="15.3125" bestFit="1" customWidth="1"/>
    <col min="3" max="3" width="29.62890625" customWidth="1"/>
    <col min="4" max="4" width="12.7890625" customWidth="1"/>
    <col min="5" max="5" width="10.68359375" customWidth="1"/>
    <col min="6" max="6" width="7" customWidth="1"/>
    <col min="7" max="7" width="7.3671875" customWidth="1"/>
    <col min="8" max="8" width="11.89453125" bestFit="1" customWidth="1"/>
    <col min="9" max="9" width="8.68359375" customWidth="1"/>
    <col min="10" max="10" width="13.734375" customWidth="1"/>
  </cols>
  <sheetData>
    <row r="1" spans="1:14" x14ac:dyDescent="0.55000000000000004">
      <c r="B1" s="5" t="s">
        <v>0</v>
      </c>
      <c r="C1" s="5" t="s">
        <v>30</v>
      </c>
      <c r="D1" s="5" t="s">
        <v>39</v>
      </c>
      <c r="E1" s="5" t="s">
        <v>14</v>
      </c>
      <c r="F1" s="5" t="s">
        <v>17</v>
      </c>
      <c r="G1" s="5" t="s">
        <v>16</v>
      </c>
      <c r="H1" s="5" t="s">
        <v>15</v>
      </c>
      <c r="I1" s="5" t="s">
        <v>3</v>
      </c>
      <c r="J1" s="5" t="s">
        <v>5</v>
      </c>
      <c r="K1" s="5" t="s">
        <v>4</v>
      </c>
      <c r="L1" s="5" t="s">
        <v>2</v>
      </c>
      <c r="M1" s="5" t="s">
        <v>27</v>
      </c>
      <c r="N1" s="5" t="s">
        <v>28</v>
      </c>
    </row>
    <row r="2" spans="1:14" x14ac:dyDescent="0.55000000000000004">
      <c r="A2" t="s">
        <v>18</v>
      </c>
      <c r="B2" t="s">
        <v>6</v>
      </c>
      <c r="C2" t="s">
        <v>38</v>
      </c>
      <c r="D2" t="s">
        <v>41</v>
      </c>
      <c r="E2" t="s">
        <v>7</v>
      </c>
      <c r="F2">
        <f>VLOOKUP(E2,PAYRATES!$A$1:$D$5,2,FALSE)*$B$15</f>
        <v>70.893333333333331</v>
      </c>
      <c r="G2">
        <f t="shared" ref="G2:G10" si="0">ROUND(F2*1.5,2)</f>
        <v>106.34</v>
      </c>
      <c r="H2" s="1">
        <v>1.75</v>
      </c>
      <c r="I2">
        <f t="shared" ref="I2:I10" si="1">G2+H2</f>
        <v>108.09</v>
      </c>
      <c r="J2" s="2">
        <f t="shared" ref="J2:J10" si="2">F2+H2</f>
        <v>72.643333333333331</v>
      </c>
      <c r="K2">
        <v>8</v>
      </c>
      <c r="L2">
        <v>0</v>
      </c>
      <c r="M2" s="2">
        <f>(J2*K2)+(I2*L2)</f>
        <v>581.14666666666665</v>
      </c>
      <c r="N2">
        <v>2024</v>
      </c>
    </row>
    <row r="3" spans="1:14" x14ac:dyDescent="0.55000000000000004">
      <c r="A3" t="s">
        <v>19</v>
      </c>
      <c r="B3" t="s">
        <v>6</v>
      </c>
      <c r="C3" t="str">
        <f>C$2</f>
        <v>TRAINER</v>
      </c>
      <c r="D3" t="str">
        <f>D$2</f>
        <v>REGULAR</v>
      </c>
      <c r="E3" t="s">
        <v>8</v>
      </c>
      <c r="F3">
        <f>VLOOKUP(E3,PAYRATES!$A$1:$D$5,2,FALSE)*$B$15</f>
        <v>89.306666666666672</v>
      </c>
      <c r="G3">
        <f t="shared" si="0"/>
        <v>133.96</v>
      </c>
      <c r="H3">
        <f>H$2</f>
        <v>1.75</v>
      </c>
      <c r="I3">
        <f t="shared" si="1"/>
        <v>135.71</v>
      </c>
      <c r="J3" s="2">
        <f t="shared" si="2"/>
        <v>91.056666666666672</v>
      </c>
      <c r="K3">
        <f>K$2</f>
        <v>8</v>
      </c>
      <c r="L3">
        <f>L$2</f>
        <v>0</v>
      </c>
      <c r="M3" s="2">
        <f t="shared" ref="M3:M10" si="3">(J3*K3)+(I3*L3)</f>
        <v>728.45333333333338</v>
      </c>
      <c r="N3">
        <v>2024</v>
      </c>
    </row>
    <row r="4" spans="1:14" s="3" customFormat="1" x14ac:dyDescent="0.55000000000000004">
      <c r="A4" s="3" t="s">
        <v>20</v>
      </c>
      <c r="B4" s="3" t="s">
        <v>6</v>
      </c>
      <c r="C4" s="3" t="str">
        <f>C$2</f>
        <v>TRAINER</v>
      </c>
      <c r="D4" t="str">
        <f t="shared" ref="D4:D10" si="4">D$2</f>
        <v>REGULAR</v>
      </c>
      <c r="E4" s="3" t="s">
        <v>9</v>
      </c>
      <c r="F4" s="3">
        <f>VLOOKUP(E4,PAYRATES!$A$1:$D$5,2,FALSE)*$B$15</f>
        <v>110.30666666666667</v>
      </c>
      <c r="G4" s="3">
        <f t="shared" si="0"/>
        <v>165.46</v>
      </c>
      <c r="H4" s="3">
        <f>H$2</f>
        <v>1.75</v>
      </c>
      <c r="I4" s="3">
        <f t="shared" si="1"/>
        <v>167.21</v>
      </c>
      <c r="J4" s="4">
        <f t="shared" si="2"/>
        <v>112.05666666666667</v>
      </c>
      <c r="K4">
        <v>6.5</v>
      </c>
      <c r="L4">
        <f t="shared" ref="K4:L13" si="5">L$2</f>
        <v>0</v>
      </c>
      <c r="M4" s="4">
        <f t="shared" si="3"/>
        <v>728.36833333333334</v>
      </c>
      <c r="N4" s="3">
        <v>2024</v>
      </c>
    </row>
    <row r="5" spans="1:14" x14ac:dyDescent="0.55000000000000004">
      <c r="A5" t="s">
        <v>21</v>
      </c>
      <c r="B5">
        <v>6</v>
      </c>
      <c r="C5" t="str">
        <f t="shared" ref="C5:C13" si="6">C$2</f>
        <v>TRAINER</v>
      </c>
      <c r="D5" t="str">
        <f t="shared" si="4"/>
        <v>REGULAR</v>
      </c>
      <c r="E5" t="s">
        <v>7</v>
      </c>
      <c r="F5">
        <f>VLOOKUP(E5,PAYRATES!$A$1:$D$5,3,FALSE)*$B$15</f>
        <v>90.74666666666667</v>
      </c>
      <c r="G5">
        <f t="shared" si="0"/>
        <v>136.12</v>
      </c>
      <c r="H5">
        <f t="shared" ref="H5:H13" si="7">H$2</f>
        <v>1.75</v>
      </c>
      <c r="I5">
        <f t="shared" si="1"/>
        <v>137.87</v>
      </c>
      <c r="J5" s="2">
        <f t="shared" si="2"/>
        <v>92.49666666666667</v>
      </c>
      <c r="K5">
        <f t="shared" si="5"/>
        <v>8</v>
      </c>
      <c r="L5">
        <f t="shared" si="5"/>
        <v>0</v>
      </c>
      <c r="M5" s="2">
        <f t="shared" si="3"/>
        <v>739.97333333333336</v>
      </c>
      <c r="N5">
        <v>2024</v>
      </c>
    </row>
    <row r="6" spans="1:14" x14ac:dyDescent="0.55000000000000004">
      <c r="A6" t="s">
        <v>22</v>
      </c>
      <c r="B6">
        <v>6</v>
      </c>
      <c r="C6" t="str">
        <f t="shared" si="6"/>
        <v>TRAINER</v>
      </c>
      <c r="D6" t="str">
        <f t="shared" si="4"/>
        <v>REGULAR</v>
      </c>
      <c r="E6" t="s">
        <v>8</v>
      </c>
      <c r="F6">
        <f>VLOOKUP(E6,PAYRATES!$A$1:$D$5,3,FALSE)*$B$15</f>
        <v>113.42666666666665</v>
      </c>
      <c r="G6">
        <f t="shared" si="0"/>
        <v>170.14</v>
      </c>
      <c r="H6">
        <f t="shared" si="7"/>
        <v>1.75</v>
      </c>
      <c r="I6">
        <f t="shared" si="1"/>
        <v>171.89</v>
      </c>
      <c r="J6" s="2">
        <f t="shared" si="2"/>
        <v>115.17666666666665</v>
      </c>
      <c r="K6">
        <f t="shared" si="5"/>
        <v>8</v>
      </c>
      <c r="L6">
        <f t="shared" si="5"/>
        <v>0</v>
      </c>
      <c r="M6" s="2">
        <f t="shared" si="3"/>
        <v>921.41333333333318</v>
      </c>
      <c r="N6">
        <v>2024</v>
      </c>
    </row>
    <row r="7" spans="1:14" s="3" customFormat="1" x14ac:dyDescent="0.55000000000000004">
      <c r="A7" s="3" t="s">
        <v>26</v>
      </c>
      <c r="B7" s="3">
        <v>6</v>
      </c>
      <c r="C7" s="3" t="str">
        <f t="shared" si="6"/>
        <v>TRAINER</v>
      </c>
      <c r="D7" t="str">
        <f t="shared" si="4"/>
        <v>REGULAR</v>
      </c>
      <c r="E7" s="3" t="s">
        <v>9</v>
      </c>
      <c r="F7" s="3">
        <f>VLOOKUP(E7,PAYRATES!$A$1:$D$5,3,FALSE)*$B$15</f>
        <v>113.42666666666665</v>
      </c>
      <c r="G7" s="3">
        <f t="shared" si="0"/>
        <v>170.14</v>
      </c>
      <c r="H7" s="3">
        <f t="shared" si="7"/>
        <v>1.75</v>
      </c>
      <c r="I7" s="3">
        <f t="shared" si="1"/>
        <v>171.89</v>
      </c>
      <c r="J7" s="4">
        <f t="shared" si="2"/>
        <v>115.17666666666665</v>
      </c>
      <c r="K7">
        <f>K$4</f>
        <v>6.5</v>
      </c>
      <c r="L7">
        <f t="shared" si="5"/>
        <v>0</v>
      </c>
      <c r="M7" s="4">
        <f t="shared" si="3"/>
        <v>748.6483333333332</v>
      </c>
      <c r="N7" s="3">
        <v>2024</v>
      </c>
    </row>
    <row r="8" spans="1:14" x14ac:dyDescent="0.55000000000000004">
      <c r="A8" t="s">
        <v>23</v>
      </c>
      <c r="B8">
        <v>0</v>
      </c>
      <c r="C8" t="str">
        <f t="shared" si="6"/>
        <v>TRAINER</v>
      </c>
      <c r="D8" t="str">
        <f t="shared" si="4"/>
        <v>REGULAR</v>
      </c>
      <c r="E8" t="s">
        <v>7</v>
      </c>
      <c r="F8">
        <f>VLOOKUP(E8,PAYRATES!$A$1:$D$5,4,FALSE)*$B$15</f>
        <v>113.42666666666665</v>
      </c>
      <c r="G8">
        <f t="shared" si="0"/>
        <v>170.14</v>
      </c>
      <c r="H8">
        <f t="shared" si="7"/>
        <v>1.75</v>
      </c>
      <c r="I8">
        <f t="shared" si="1"/>
        <v>171.89</v>
      </c>
      <c r="J8" s="2">
        <f t="shared" si="2"/>
        <v>115.17666666666665</v>
      </c>
      <c r="K8">
        <f t="shared" si="5"/>
        <v>8</v>
      </c>
      <c r="L8">
        <f t="shared" si="5"/>
        <v>0</v>
      </c>
      <c r="M8" s="2">
        <f t="shared" si="3"/>
        <v>921.41333333333318</v>
      </c>
      <c r="N8">
        <v>2024</v>
      </c>
    </row>
    <row r="9" spans="1:14" x14ac:dyDescent="0.55000000000000004">
      <c r="A9" t="s">
        <v>24</v>
      </c>
      <c r="B9">
        <v>0</v>
      </c>
      <c r="C9" t="str">
        <f t="shared" si="6"/>
        <v>TRAINER</v>
      </c>
      <c r="D9" t="str">
        <f t="shared" si="4"/>
        <v>REGULAR</v>
      </c>
      <c r="E9" t="s">
        <v>8</v>
      </c>
      <c r="F9">
        <f>VLOOKUP(E9,PAYRATES!$A$1:$D$5,4,FALSE)*$B$15</f>
        <v>113.42666666666665</v>
      </c>
      <c r="G9">
        <f t="shared" si="0"/>
        <v>170.14</v>
      </c>
      <c r="H9">
        <f t="shared" si="7"/>
        <v>1.75</v>
      </c>
      <c r="I9">
        <f t="shared" si="1"/>
        <v>171.89</v>
      </c>
      <c r="J9" s="2">
        <f t="shared" si="2"/>
        <v>115.17666666666665</v>
      </c>
      <c r="K9">
        <f t="shared" si="5"/>
        <v>8</v>
      </c>
      <c r="L9">
        <f t="shared" si="5"/>
        <v>0</v>
      </c>
      <c r="M9" s="2">
        <f t="shared" si="3"/>
        <v>921.41333333333318</v>
      </c>
      <c r="N9">
        <v>2024</v>
      </c>
    </row>
    <row r="10" spans="1:14" x14ac:dyDescent="0.55000000000000004">
      <c r="A10" t="s">
        <v>25</v>
      </c>
      <c r="B10">
        <v>0</v>
      </c>
      <c r="C10" t="str">
        <f t="shared" si="6"/>
        <v>TRAINER</v>
      </c>
      <c r="D10" t="str">
        <f t="shared" si="4"/>
        <v>REGULAR</v>
      </c>
      <c r="E10" t="s">
        <v>9</v>
      </c>
      <c r="F10">
        <f>VLOOKUP(E10,PAYRATES!$A$1:$D$5,4,FALSE)*$B$15</f>
        <v>113.42666666666665</v>
      </c>
      <c r="G10">
        <f t="shared" si="0"/>
        <v>170.14</v>
      </c>
      <c r="H10">
        <f t="shared" si="7"/>
        <v>1.75</v>
      </c>
      <c r="I10">
        <f t="shared" si="1"/>
        <v>171.89</v>
      </c>
      <c r="J10" s="2">
        <f t="shared" si="2"/>
        <v>115.17666666666665</v>
      </c>
      <c r="K10">
        <f>K$4</f>
        <v>6.5</v>
      </c>
      <c r="L10">
        <f t="shared" si="5"/>
        <v>0</v>
      </c>
      <c r="M10" s="2">
        <f t="shared" si="3"/>
        <v>748.6483333333332</v>
      </c>
      <c r="N10">
        <v>2024</v>
      </c>
    </row>
    <row r="11" spans="1:14" x14ac:dyDescent="0.55000000000000004">
      <c r="A11" t="s">
        <v>42</v>
      </c>
      <c r="B11" t="s">
        <v>43</v>
      </c>
      <c r="C11" t="str">
        <f t="shared" si="6"/>
        <v>TRAINER</v>
      </c>
      <c r="D11" t="s">
        <v>44</v>
      </c>
      <c r="E11" t="s">
        <v>7</v>
      </c>
      <c r="F11">
        <f>VLOOKUP(E11,PAYRATES!$A$1:$D$5,4,FALSE)*$B$15</f>
        <v>113.42666666666665</v>
      </c>
      <c r="G11">
        <f t="shared" ref="G11" si="8">ROUND(F11*1.5,2)</f>
        <v>170.14</v>
      </c>
      <c r="H11">
        <f t="shared" si="7"/>
        <v>1.75</v>
      </c>
      <c r="I11">
        <f t="shared" ref="I11" si="9">G11+H11</f>
        <v>171.89</v>
      </c>
      <c r="J11" s="2">
        <f t="shared" ref="J11" si="10">F11+H11</f>
        <v>115.17666666666665</v>
      </c>
      <c r="K11">
        <f t="shared" si="5"/>
        <v>8</v>
      </c>
      <c r="L11">
        <f t="shared" si="5"/>
        <v>0</v>
      </c>
      <c r="M11" s="2">
        <f t="shared" ref="M11" si="11">(J11*K11)+(I11*L11)</f>
        <v>921.41333333333318</v>
      </c>
      <c r="N11">
        <v>2024</v>
      </c>
    </row>
    <row r="12" spans="1:14" x14ac:dyDescent="0.55000000000000004">
      <c r="A12" t="s">
        <v>42</v>
      </c>
      <c r="B12" t="s">
        <v>43</v>
      </c>
      <c r="C12" t="str">
        <f t="shared" si="6"/>
        <v>TRAINER</v>
      </c>
      <c r="D12" t="s">
        <v>44</v>
      </c>
      <c r="E12" t="s">
        <v>8</v>
      </c>
      <c r="F12">
        <f>F11</f>
        <v>113.42666666666665</v>
      </c>
      <c r="G12">
        <f t="shared" ref="G12:G13" si="12">ROUND(F12*1.5,2)</f>
        <v>170.14</v>
      </c>
      <c r="H12">
        <f t="shared" si="7"/>
        <v>1.75</v>
      </c>
      <c r="I12">
        <f t="shared" ref="I12:I13" si="13">G12+H12</f>
        <v>171.89</v>
      </c>
      <c r="J12" s="2">
        <f t="shared" ref="J12:J13" si="14">F12+H12</f>
        <v>115.17666666666665</v>
      </c>
      <c r="K12">
        <f t="shared" si="5"/>
        <v>8</v>
      </c>
      <c r="L12">
        <f t="shared" si="5"/>
        <v>0</v>
      </c>
      <c r="M12" s="2">
        <f t="shared" ref="M12:M13" si="15">(J12*K12)+(I12*L12)</f>
        <v>921.41333333333318</v>
      </c>
      <c r="N12">
        <v>2024</v>
      </c>
    </row>
    <row r="13" spans="1:14" x14ac:dyDescent="0.55000000000000004">
      <c r="A13" t="s">
        <v>42</v>
      </c>
      <c r="B13" t="s">
        <v>43</v>
      </c>
      <c r="C13" t="str">
        <f t="shared" si="6"/>
        <v>TRAINER</v>
      </c>
      <c r="D13" t="s">
        <v>44</v>
      </c>
      <c r="E13" t="s">
        <v>9</v>
      </c>
      <c r="F13">
        <f>F11</f>
        <v>113.42666666666665</v>
      </c>
      <c r="G13">
        <f t="shared" si="12"/>
        <v>170.14</v>
      </c>
      <c r="H13">
        <f t="shared" si="7"/>
        <v>1.75</v>
      </c>
      <c r="I13">
        <f t="shared" si="13"/>
        <v>171.89</v>
      </c>
      <c r="J13" s="2">
        <f t="shared" si="14"/>
        <v>115.17666666666665</v>
      </c>
      <c r="K13">
        <f>K$4</f>
        <v>6.5</v>
      </c>
      <c r="L13">
        <f t="shared" si="5"/>
        <v>0</v>
      </c>
      <c r="M13" s="2">
        <f t="shared" si="15"/>
        <v>748.6483333333332</v>
      </c>
      <c r="N13">
        <v>2024</v>
      </c>
    </row>
    <row r="14" spans="1:14" x14ac:dyDescent="0.55000000000000004">
      <c r="J14" s="2"/>
    </row>
    <row r="15" spans="1:14" x14ac:dyDescent="0.55000000000000004">
      <c r="A15" s="1" t="s">
        <v>40</v>
      </c>
      <c r="B15" s="1">
        <f>1+1/3</f>
        <v>1.3333333333333333</v>
      </c>
    </row>
    <row r="18" spans="3:3" x14ac:dyDescent="0.55000000000000004">
      <c r="C18" s="2"/>
    </row>
    <row r="19" spans="3:3" x14ac:dyDescent="0.55000000000000004">
      <c r="C19" s="2"/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CA37-92CB-469E-8C3D-C2FD217F1B8D}">
  <dimension ref="A1:N10"/>
  <sheetViews>
    <sheetView workbookViewId="0">
      <selection activeCell="E15" sqref="E15"/>
    </sheetView>
  </sheetViews>
  <sheetFormatPr defaultRowHeight="14.4" x14ac:dyDescent="0.55000000000000004"/>
  <cols>
    <col min="1" max="1" width="12.41796875" customWidth="1"/>
    <col min="2" max="2" width="10.9453125" customWidth="1"/>
    <col min="3" max="3" width="29.62890625" customWidth="1"/>
    <col min="4" max="4" width="10.68359375" customWidth="1"/>
    <col min="5" max="5" width="29.9453125" customWidth="1"/>
    <col min="6" max="6" width="7" customWidth="1"/>
    <col min="7" max="7" width="7.3671875" customWidth="1"/>
    <col min="8" max="8" width="11.89453125" bestFit="1" customWidth="1"/>
    <col min="9" max="9" width="8.68359375" customWidth="1"/>
    <col min="10" max="10" width="13.734375" customWidth="1"/>
  </cols>
  <sheetData>
    <row r="1" spans="1:14" x14ac:dyDescent="0.55000000000000004">
      <c r="B1" s="5" t="s">
        <v>0</v>
      </c>
      <c r="C1" s="5" t="s">
        <v>30</v>
      </c>
      <c r="D1" s="5" t="s">
        <v>14</v>
      </c>
      <c r="E1" s="5" t="s">
        <v>1</v>
      </c>
      <c r="F1" s="5" t="s">
        <v>17</v>
      </c>
      <c r="G1" s="5" t="s">
        <v>16</v>
      </c>
      <c r="H1" s="5" t="s">
        <v>15</v>
      </c>
      <c r="I1" s="5" t="s">
        <v>3</v>
      </c>
      <c r="J1" s="5" t="s">
        <v>5</v>
      </c>
      <c r="K1" s="5" t="s">
        <v>4</v>
      </c>
      <c r="L1" s="5" t="s">
        <v>2</v>
      </c>
      <c r="M1" s="5" t="s">
        <v>27</v>
      </c>
      <c r="N1" s="5" t="s">
        <v>28</v>
      </c>
    </row>
    <row r="2" spans="1:14" x14ac:dyDescent="0.55000000000000004">
      <c r="A2" t="s">
        <v>18</v>
      </c>
      <c r="B2" t="s">
        <v>6</v>
      </c>
      <c r="C2" t="s">
        <v>37</v>
      </c>
      <c r="D2" t="s">
        <v>7</v>
      </c>
      <c r="E2" t="s">
        <v>35</v>
      </c>
      <c r="F2">
        <f>VLOOKUP(D2,PAYRATES!$A$1:$D$5,2,FALSE)</f>
        <v>53.17</v>
      </c>
      <c r="G2">
        <f t="shared" ref="G2:G10" si="0">ROUND(F2*1.5,2)</f>
        <v>79.760000000000005</v>
      </c>
      <c r="H2" s="1">
        <v>1</v>
      </c>
      <c r="I2">
        <f t="shared" ref="I2:I10" si="1">G2+H2</f>
        <v>80.760000000000005</v>
      </c>
      <c r="J2">
        <f t="shared" ref="J2:J10" si="2">F2+H2</f>
        <v>54.17</v>
      </c>
      <c r="K2" s="1">
        <v>8</v>
      </c>
      <c r="L2" s="1">
        <v>1</v>
      </c>
      <c r="M2" s="2">
        <f>(J2*K2)+(I2*L2)</f>
        <v>514.12</v>
      </c>
      <c r="N2">
        <v>2024</v>
      </c>
    </row>
    <row r="3" spans="1:14" x14ac:dyDescent="0.55000000000000004">
      <c r="A3" t="s">
        <v>19</v>
      </c>
      <c r="B3" t="s">
        <v>6</v>
      </c>
      <c r="C3" t="str">
        <f>C$2</f>
        <v>FIRST AID</v>
      </c>
      <c r="D3" t="s">
        <v>8</v>
      </c>
      <c r="E3" t="str">
        <f>E$2</f>
        <v>CENTENNIAL, VANTERM, DELTAPORT, FRASER SURREY</v>
      </c>
      <c r="F3">
        <f>VLOOKUP(D3,PAYRATES!$A$1:$D$5,2,FALSE)</f>
        <v>66.98</v>
      </c>
      <c r="G3">
        <f t="shared" si="0"/>
        <v>100.47</v>
      </c>
      <c r="H3">
        <f>H$2</f>
        <v>1</v>
      </c>
      <c r="I3">
        <f t="shared" si="1"/>
        <v>101.47</v>
      </c>
      <c r="J3">
        <f t="shared" si="2"/>
        <v>67.98</v>
      </c>
      <c r="K3">
        <f>K$2</f>
        <v>8</v>
      </c>
      <c r="L3">
        <v>1</v>
      </c>
      <c r="M3" s="2">
        <f t="shared" ref="M3:M4" si="3">(J3*K3)+(I3*L3)</f>
        <v>645.31000000000006</v>
      </c>
      <c r="N3">
        <v>2024</v>
      </c>
    </row>
    <row r="4" spans="1:14" s="3" customFormat="1" x14ac:dyDescent="0.55000000000000004">
      <c r="A4" s="3" t="s">
        <v>20</v>
      </c>
      <c r="B4" s="3" t="s">
        <v>6</v>
      </c>
      <c r="C4" s="3" t="str">
        <f>C$2</f>
        <v>FIRST AID</v>
      </c>
      <c r="D4" s="3" t="s">
        <v>9</v>
      </c>
      <c r="E4" s="3" t="str">
        <f>E$2</f>
        <v>CENTENNIAL, VANTERM, DELTAPORT, FRASER SURREY</v>
      </c>
      <c r="F4" s="3">
        <f>VLOOKUP(D4,PAYRATES!$A$1:$D$5,2,FALSE)</f>
        <v>82.73</v>
      </c>
      <c r="G4" s="3">
        <f t="shared" si="0"/>
        <v>124.1</v>
      </c>
      <c r="H4" s="3">
        <f>H$2</f>
        <v>1</v>
      </c>
      <c r="I4" s="3">
        <f t="shared" si="1"/>
        <v>125.1</v>
      </c>
      <c r="J4" s="3">
        <f t="shared" si="2"/>
        <v>83.73</v>
      </c>
      <c r="K4" s="3">
        <f>K$2</f>
        <v>8</v>
      </c>
      <c r="L4" s="3">
        <f>L$2</f>
        <v>1</v>
      </c>
      <c r="M4" s="4">
        <f t="shared" si="3"/>
        <v>794.94</v>
      </c>
      <c r="N4" s="3">
        <v>2024</v>
      </c>
    </row>
    <row r="5" spans="1:14" x14ac:dyDescent="0.55000000000000004">
      <c r="A5" t="s">
        <v>21</v>
      </c>
      <c r="B5">
        <v>6</v>
      </c>
      <c r="C5" t="str">
        <f t="shared" ref="C5:C7" si="4">C$2</f>
        <v>FIRST AID</v>
      </c>
      <c r="D5" t="s">
        <v>7</v>
      </c>
      <c r="E5" t="str">
        <f t="shared" ref="E5:E7" si="5">E$2</f>
        <v>CENTENNIAL, VANTERM, DELTAPORT, FRASER SURREY</v>
      </c>
      <c r="F5">
        <f>VLOOKUP(D5,PAYRATES!$A$1:$D$5,3,FALSE)</f>
        <v>68.06</v>
      </c>
      <c r="G5">
        <f t="shared" si="0"/>
        <v>102.09</v>
      </c>
      <c r="H5">
        <f t="shared" ref="H5:H7" si="6">H$2</f>
        <v>1</v>
      </c>
      <c r="I5">
        <f t="shared" si="1"/>
        <v>103.09</v>
      </c>
      <c r="J5">
        <f t="shared" si="2"/>
        <v>69.06</v>
      </c>
      <c r="K5">
        <f t="shared" ref="K5:K7" si="7">K$2</f>
        <v>8</v>
      </c>
      <c r="L5">
        <v>0</v>
      </c>
      <c r="M5" s="2">
        <f t="shared" ref="M5:M7" si="8">(J5*K5)+(I5*L5)</f>
        <v>552.48</v>
      </c>
      <c r="N5">
        <v>2024</v>
      </c>
    </row>
    <row r="6" spans="1:14" x14ac:dyDescent="0.55000000000000004">
      <c r="A6" t="s">
        <v>22</v>
      </c>
      <c r="B6">
        <v>6</v>
      </c>
      <c r="C6" t="str">
        <f t="shared" si="4"/>
        <v>FIRST AID</v>
      </c>
      <c r="D6" t="s">
        <v>8</v>
      </c>
      <c r="E6" t="str">
        <f t="shared" si="5"/>
        <v>CENTENNIAL, VANTERM, DELTAPORT, FRASER SURREY</v>
      </c>
      <c r="F6">
        <f>VLOOKUP(D6,PAYRATES!$A$1:$D$5,3,FALSE)</f>
        <v>85.07</v>
      </c>
      <c r="G6">
        <f t="shared" si="0"/>
        <v>127.61</v>
      </c>
      <c r="H6">
        <f t="shared" si="6"/>
        <v>1</v>
      </c>
      <c r="I6">
        <f t="shared" si="1"/>
        <v>128.61000000000001</v>
      </c>
      <c r="J6">
        <f t="shared" si="2"/>
        <v>86.07</v>
      </c>
      <c r="K6">
        <f t="shared" si="7"/>
        <v>8</v>
      </c>
      <c r="L6">
        <v>0</v>
      </c>
      <c r="M6" s="2">
        <f t="shared" si="8"/>
        <v>688.56</v>
      </c>
      <c r="N6">
        <v>2024</v>
      </c>
    </row>
    <row r="7" spans="1:14" s="3" customFormat="1" x14ac:dyDescent="0.55000000000000004">
      <c r="A7" s="3" t="s">
        <v>26</v>
      </c>
      <c r="B7" s="3">
        <v>6</v>
      </c>
      <c r="C7" s="3" t="str">
        <f t="shared" si="4"/>
        <v>FIRST AID</v>
      </c>
      <c r="D7" s="3" t="s">
        <v>9</v>
      </c>
      <c r="E7" s="3" t="str">
        <f t="shared" si="5"/>
        <v>CENTENNIAL, VANTERM, DELTAPORT, FRASER SURREY</v>
      </c>
      <c r="F7" s="3">
        <f>VLOOKUP(D7,PAYRATES!$A$1:$D$5,3,FALSE)</f>
        <v>85.07</v>
      </c>
      <c r="G7" s="3">
        <f t="shared" si="0"/>
        <v>127.61</v>
      </c>
      <c r="H7" s="3">
        <f t="shared" si="6"/>
        <v>1</v>
      </c>
      <c r="I7" s="3">
        <f t="shared" si="1"/>
        <v>128.61000000000001</v>
      </c>
      <c r="J7" s="3">
        <f t="shared" si="2"/>
        <v>86.07</v>
      </c>
      <c r="K7" s="3">
        <f t="shared" si="7"/>
        <v>8</v>
      </c>
      <c r="L7" s="3">
        <v>0</v>
      </c>
      <c r="M7" s="4">
        <f t="shared" si="8"/>
        <v>688.56</v>
      </c>
      <c r="N7" s="3">
        <v>2024</v>
      </c>
    </row>
    <row r="8" spans="1:14" x14ac:dyDescent="0.55000000000000004">
      <c r="A8" t="s">
        <v>23</v>
      </c>
      <c r="B8">
        <v>0</v>
      </c>
      <c r="C8" t="str">
        <f t="shared" ref="C8:C10" si="9">C$2</f>
        <v>FIRST AID</v>
      </c>
      <c r="D8" t="s">
        <v>7</v>
      </c>
      <c r="E8" t="str">
        <f t="shared" ref="E8:E10" si="10">E$2</f>
        <v>CENTENNIAL, VANTERM, DELTAPORT, FRASER SURREY</v>
      </c>
      <c r="F8">
        <f>VLOOKUP(D8,PAYRATES!$A$1:$D$5,4,FALSE)</f>
        <v>85.07</v>
      </c>
      <c r="G8">
        <f t="shared" si="0"/>
        <v>127.61</v>
      </c>
      <c r="H8">
        <f t="shared" ref="H8:H10" si="11">H$2</f>
        <v>1</v>
      </c>
      <c r="I8">
        <f t="shared" si="1"/>
        <v>128.61000000000001</v>
      </c>
      <c r="J8">
        <f t="shared" si="2"/>
        <v>86.07</v>
      </c>
      <c r="K8">
        <f t="shared" ref="K8:K10" si="12">K$2</f>
        <v>8</v>
      </c>
      <c r="L8">
        <v>0</v>
      </c>
      <c r="M8" s="2">
        <f t="shared" ref="M8:M10" si="13">(J8*K8)+(I8*L8)</f>
        <v>688.56</v>
      </c>
      <c r="N8">
        <v>2024</v>
      </c>
    </row>
    <row r="9" spans="1:14" x14ac:dyDescent="0.55000000000000004">
      <c r="A9" t="s">
        <v>24</v>
      </c>
      <c r="B9">
        <v>0</v>
      </c>
      <c r="C9" t="str">
        <f t="shared" si="9"/>
        <v>FIRST AID</v>
      </c>
      <c r="D9" t="s">
        <v>8</v>
      </c>
      <c r="E9" t="str">
        <f t="shared" si="10"/>
        <v>CENTENNIAL, VANTERM, DELTAPORT, FRASER SURREY</v>
      </c>
      <c r="F9">
        <f>VLOOKUP(D9,PAYRATES!$A$1:$D$5,4,FALSE)</f>
        <v>85.07</v>
      </c>
      <c r="G9">
        <f t="shared" si="0"/>
        <v>127.61</v>
      </c>
      <c r="H9">
        <f t="shared" si="11"/>
        <v>1</v>
      </c>
      <c r="I9">
        <f t="shared" si="1"/>
        <v>128.61000000000001</v>
      </c>
      <c r="J9">
        <f t="shared" si="2"/>
        <v>86.07</v>
      </c>
      <c r="K9">
        <f t="shared" si="12"/>
        <v>8</v>
      </c>
      <c r="L9">
        <v>0</v>
      </c>
      <c r="M9" s="2">
        <f t="shared" si="13"/>
        <v>688.56</v>
      </c>
      <c r="N9">
        <v>2024</v>
      </c>
    </row>
    <row r="10" spans="1:14" x14ac:dyDescent="0.55000000000000004">
      <c r="A10" t="s">
        <v>25</v>
      </c>
      <c r="B10">
        <v>0</v>
      </c>
      <c r="C10" t="str">
        <f t="shared" si="9"/>
        <v>FIRST AID</v>
      </c>
      <c r="D10" t="s">
        <v>9</v>
      </c>
      <c r="E10" t="str">
        <f t="shared" si="10"/>
        <v>CENTENNIAL, VANTERM, DELTAPORT, FRASER SURREY</v>
      </c>
      <c r="F10">
        <f>VLOOKUP(D10,PAYRATES!$A$1:$D$5,4,FALSE)</f>
        <v>85.07</v>
      </c>
      <c r="G10">
        <f t="shared" si="0"/>
        <v>127.61</v>
      </c>
      <c r="H10">
        <f t="shared" si="11"/>
        <v>1</v>
      </c>
      <c r="I10">
        <f t="shared" si="1"/>
        <v>128.61000000000001</v>
      </c>
      <c r="J10">
        <f t="shared" si="2"/>
        <v>86.07</v>
      </c>
      <c r="K10">
        <f t="shared" si="12"/>
        <v>8</v>
      </c>
      <c r="L10">
        <v>0</v>
      </c>
      <c r="M10" s="2">
        <f t="shared" si="13"/>
        <v>688.56</v>
      </c>
      <c r="N10">
        <v>2024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A69D-9861-4FE9-8094-010DDBF599B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D803-0115-4839-A847-F821667C33D8}">
  <dimension ref="A1"/>
  <sheetViews>
    <sheetView workbookViewId="0">
      <selection activeCell="E10" sqref="E10"/>
    </sheetView>
  </sheetViews>
  <sheetFormatPr defaultRowHeight="14.4" x14ac:dyDescent="0.5500000000000000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9D3B-3CE1-4B38-BDCC-5070B1AFDFED}">
  <dimension ref="A1"/>
  <sheetViews>
    <sheetView workbookViewId="0">
      <selection activeCell="K14" sqref="K14"/>
    </sheetView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PAYRATES</vt:lpstr>
      <vt:lpstr>HD MECHANIC</vt:lpstr>
      <vt:lpstr>WHEAT</vt:lpstr>
      <vt:lpstr>TRACTOR TRAILER</vt:lpstr>
      <vt:lpstr>HEAD CHECKER</vt:lpstr>
      <vt:lpstr>Sheet1</vt:lpstr>
      <vt:lpstr>LABOUR</vt:lpstr>
      <vt:lpstr>BUNNYBUS</vt:lpstr>
      <vt:lpstr>RTG</vt:lpstr>
      <vt:lpstr>TRAINERS</vt:lpstr>
      <vt:lpstr>FIRST AID</vt:lpstr>
      <vt:lpstr>HLT</vt:lpstr>
      <vt:lpstr>CHECKER</vt:lpstr>
      <vt:lpstr>RMG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Veetesh Rup</dc:creator>
  <cp:lastModifiedBy>Veetesh Rup</cp:lastModifiedBy>
  <dcterms:created xsi:type="dcterms:W3CDTF">2024-12-13T17:30:32Z</dcterms:created>
  <dcterms:modified xsi:type="dcterms:W3CDTF">2025-04-02T20:24:47Z</dcterms:modified>
</cp:coreProperties>
</file>